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arZokirov\Desktop\"/>
    </mc:Choice>
  </mc:AlternateContent>
  <bookViews>
    <workbookView xWindow="0" yWindow="0" windowWidth="19200" windowHeight="8130"/>
  </bookViews>
  <sheets>
    <sheet name="10Б" sheetId="1" r:id="rId1"/>
  </sheets>
  <externalReferences>
    <externalReference r:id="rId2"/>
  </externalReferences>
  <definedNames>
    <definedName name="Baholar">OFFSET([1]Чораклар!$B$2,0,0,COUNTA([1]Чораклар!$B:$B)-1,1)</definedName>
    <definedName name="Fanlar">OFFSET([1]Чораклар!$A$2,0,0,COUNTA([1]Чораклар!$A:$A)-1,1)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45" i="1" l="1"/>
  <c r="P43" i="1"/>
  <c r="P44" i="1" s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P41" i="1"/>
  <c r="P45" i="1" s="1"/>
  <c r="W40" i="1"/>
  <c r="V40" i="1"/>
  <c r="U40" i="1"/>
  <c r="U41" i="1" s="1"/>
  <c r="U43" i="1" s="1"/>
  <c r="U44" i="1" s="1"/>
  <c r="T40" i="1"/>
  <c r="S40" i="1"/>
  <c r="R40" i="1"/>
  <c r="P40" i="1"/>
  <c r="I40" i="1"/>
  <c r="H40" i="1"/>
  <c r="G40" i="1"/>
  <c r="G41" i="1" s="1"/>
  <c r="G43" i="1" s="1"/>
  <c r="G44" i="1" s="1"/>
  <c r="F40" i="1"/>
  <c r="E40" i="1"/>
  <c r="Z39" i="1"/>
  <c r="W39" i="1"/>
  <c r="V39" i="1"/>
  <c r="U39" i="1"/>
  <c r="T39" i="1"/>
  <c r="S39" i="1"/>
  <c r="R39" i="1"/>
  <c r="Q39" i="1"/>
  <c r="Q40" i="1" s="1"/>
  <c r="Q41" i="1" s="1"/>
  <c r="P39" i="1"/>
  <c r="O39" i="1"/>
  <c r="O40" i="1" s="1"/>
  <c r="N39" i="1"/>
  <c r="N40" i="1" s="1"/>
  <c r="M39" i="1"/>
  <c r="L39" i="1"/>
  <c r="K39" i="1"/>
  <c r="J39" i="1"/>
  <c r="I39" i="1"/>
  <c r="H39" i="1"/>
  <c r="G39" i="1"/>
  <c r="G45" i="1" s="1"/>
  <c r="F39" i="1"/>
  <c r="E39" i="1"/>
  <c r="AI38" i="1"/>
  <c r="AH38" i="1"/>
  <c r="AG38" i="1"/>
  <c r="AF38" i="1"/>
  <c r="AE38" i="1"/>
  <c r="AD38" i="1"/>
  <c r="AC38" i="1"/>
  <c r="AB38" i="1"/>
  <c r="AA38" i="1"/>
  <c r="Z38" i="1"/>
  <c r="Y38" i="1"/>
  <c r="B38" i="1"/>
  <c r="AI37" i="1"/>
  <c r="AH37" i="1"/>
  <c r="AG37" i="1"/>
  <c r="AF37" i="1"/>
  <c r="AE37" i="1"/>
  <c r="AD37" i="1"/>
  <c r="AC37" i="1"/>
  <c r="AB37" i="1"/>
  <c r="AA37" i="1"/>
  <c r="Z37" i="1"/>
  <c r="Y37" i="1"/>
  <c r="B37" i="1"/>
  <c r="AI36" i="1"/>
  <c r="AH36" i="1"/>
  <c r="AG36" i="1"/>
  <c r="AF36" i="1"/>
  <c r="AE36" i="1"/>
  <c r="AD36" i="1"/>
  <c r="AC36" i="1"/>
  <c r="AB36" i="1"/>
  <c r="AA36" i="1"/>
  <c r="Z36" i="1"/>
  <c r="Y36" i="1"/>
  <c r="B36" i="1"/>
  <c r="AI35" i="1"/>
  <c r="AH35" i="1"/>
  <c r="AG35" i="1"/>
  <c r="AF35" i="1"/>
  <c r="AE35" i="1"/>
  <c r="AD35" i="1"/>
  <c r="AC35" i="1"/>
  <c r="AB35" i="1"/>
  <c r="AA35" i="1"/>
  <c r="Z35" i="1"/>
  <c r="Y35" i="1"/>
  <c r="B35" i="1"/>
  <c r="AI34" i="1"/>
  <c r="AH34" i="1"/>
  <c r="AG34" i="1"/>
  <c r="AF34" i="1"/>
  <c r="AE34" i="1"/>
  <c r="AD34" i="1"/>
  <c r="AC34" i="1"/>
  <c r="AB34" i="1"/>
  <c r="AA34" i="1"/>
  <c r="Z34" i="1"/>
  <c r="Y34" i="1"/>
  <c r="B34" i="1"/>
  <c r="AI33" i="1"/>
  <c r="AH33" i="1"/>
  <c r="AG33" i="1"/>
  <c r="AF33" i="1"/>
  <c r="AE33" i="1"/>
  <c r="AD33" i="1"/>
  <c r="AC33" i="1"/>
  <c r="AB33" i="1"/>
  <c r="AA33" i="1"/>
  <c r="Z33" i="1"/>
  <c r="Y33" i="1"/>
  <c r="B33" i="1"/>
  <c r="AI32" i="1"/>
  <c r="AH32" i="1"/>
  <c r="AG32" i="1"/>
  <c r="AF32" i="1"/>
  <c r="AE32" i="1"/>
  <c r="AD32" i="1"/>
  <c r="AC32" i="1"/>
  <c r="AB32" i="1"/>
  <c r="AA32" i="1"/>
  <c r="Z32" i="1"/>
  <c r="Y32" i="1"/>
  <c r="B32" i="1"/>
  <c r="AI31" i="1"/>
  <c r="AH31" i="1"/>
  <c r="AG31" i="1"/>
  <c r="AF31" i="1"/>
  <c r="AE31" i="1"/>
  <c r="AD31" i="1"/>
  <c r="AC31" i="1"/>
  <c r="AB31" i="1"/>
  <c r="AA31" i="1"/>
  <c r="Z31" i="1"/>
  <c r="Y31" i="1"/>
  <c r="B31" i="1"/>
  <c r="AI30" i="1"/>
  <c r="AH30" i="1"/>
  <c r="AG30" i="1"/>
  <c r="AF30" i="1"/>
  <c r="AE30" i="1"/>
  <c r="AD30" i="1"/>
  <c r="AC30" i="1"/>
  <c r="AB30" i="1"/>
  <c r="AA30" i="1"/>
  <c r="Z30" i="1"/>
  <c r="Y30" i="1"/>
  <c r="B30" i="1"/>
  <c r="AI29" i="1"/>
  <c r="AH29" i="1"/>
  <c r="AG29" i="1"/>
  <c r="AF29" i="1"/>
  <c r="AE29" i="1"/>
  <c r="AD29" i="1"/>
  <c r="AC29" i="1"/>
  <c r="AB29" i="1"/>
  <c r="AA29" i="1"/>
  <c r="Z29" i="1"/>
  <c r="Y29" i="1"/>
  <c r="B29" i="1"/>
  <c r="AI28" i="1"/>
  <c r="AH28" i="1"/>
  <c r="AG28" i="1"/>
  <c r="AF28" i="1"/>
  <c r="AE28" i="1"/>
  <c r="AD28" i="1"/>
  <c r="AC28" i="1"/>
  <c r="AB28" i="1"/>
  <c r="AA28" i="1"/>
  <c r="Z28" i="1"/>
  <c r="Y28" i="1"/>
  <c r="B28" i="1"/>
  <c r="AI27" i="1"/>
  <c r="AH27" i="1"/>
  <c r="AG27" i="1"/>
  <c r="AF27" i="1"/>
  <c r="AE27" i="1"/>
  <c r="AD27" i="1"/>
  <c r="AC27" i="1"/>
  <c r="AB27" i="1"/>
  <c r="AA27" i="1"/>
  <c r="Z27" i="1"/>
  <c r="Y27" i="1"/>
  <c r="B27" i="1"/>
  <c r="AI26" i="1"/>
  <c r="AH26" i="1"/>
  <c r="AG26" i="1"/>
  <c r="AF26" i="1"/>
  <c r="AE26" i="1"/>
  <c r="AD26" i="1"/>
  <c r="AC26" i="1"/>
  <c r="AB26" i="1"/>
  <c r="AA26" i="1"/>
  <c r="Z26" i="1"/>
  <c r="Y26" i="1"/>
  <c r="B26" i="1"/>
  <c r="AI25" i="1"/>
  <c r="AH25" i="1"/>
  <c r="AG25" i="1"/>
  <c r="AF25" i="1"/>
  <c r="AE25" i="1"/>
  <c r="AD25" i="1"/>
  <c r="AC25" i="1"/>
  <c r="AB25" i="1"/>
  <c r="AA25" i="1"/>
  <c r="Z25" i="1"/>
  <c r="Y25" i="1"/>
  <c r="B25" i="1"/>
  <c r="AI24" i="1"/>
  <c r="AH24" i="1"/>
  <c r="AG24" i="1"/>
  <c r="AF24" i="1"/>
  <c r="AE24" i="1"/>
  <c r="AD24" i="1"/>
  <c r="AC24" i="1"/>
  <c r="AB24" i="1"/>
  <c r="AA24" i="1"/>
  <c r="Z24" i="1"/>
  <c r="Y24" i="1"/>
  <c r="B24" i="1"/>
  <c r="AI23" i="1"/>
  <c r="AH23" i="1"/>
  <c r="AG23" i="1"/>
  <c r="AF23" i="1"/>
  <c r="AE23" i="1"/>
  <c r="AD23" i="1"/>
  <c r="AC23" i="1"/>
  <c r="AB23" i="1"/>
  <c r="AA23" i="1"/>
  <c r="Z23" i="1"/>
  <c r="Y23" i="1"/>
  <c r="B23" i="1"/>
  <c r="AI22" i="1"/>
  <c r="AH22" i="1"/>
  <c r="AG22" i="1"/>
  <c r="AF22" i="1"/>
  <c r="AE22" i="1"/>
  <c r="AD22" i="1"/>
  <c r="AC22" i="1"/>
  <c r="AB22" i="1"/>
  <c r="AA22" i="1"/>
  <c r="Z22" i="1"/>
  <c r="Y22" i="1"/>
  <c r="B22" i="1"/>
  <c r="AH21" i="1"/>
  <c r="AG21" i="1"/>
  <c r="AF21" i="1"/>
  <c r="AE21" i="1"/>
  <c r="Y21" i="1"/>
  <c r="AH20" i="1"/>
  <c r="AG20" i="1"/>
  <c r="AE20" i="1"/>
  <c r="AF20" i="1" s="1"/>
  <c r="AA20" i="1"/>
  <c r="AB20" i="1" s="1"/>
  <c r="AI20" i="1" s="1"/>
  <c r="Z20" i="1"/>
  <c r="Y20" i="1"/>
  <c r="AC20" i="1" s="1"/>
  <c r="AD20" i="1" s="1"/>
  <c r="AH19" i="1"/>
  <c r="AG19" i="1"/>
  <c r="AE19" i="1"/>
  <c r="AF19" i="1" s="1"/>
  <c r="Y19" i="1"/>
  <c r="AH18" i="1"/>
  <c r="AG18" i="1"/>
  <c r="AE18" i="1"/>
  <c r="AF18" i="1" s="1"/>
  <c r="AC18" i="1"/>
  <c r="AD18" i="1" s="1"/>
  <c r="AA18" i="1"/>
  <c r="AB18" i="1" s="1"/>
  <c r="Z18" i="1"/>
  <c r="AI18" i="1" s="1"/>
  <c r="Y18" i="1"/>
  <c r="AH17" i="1"/>
  <c r="AG17" i="1"/>
  <c r="AE17" i="1"/>
  <c r="AF17" i="1" s="1"/>
  <c r="AA17" i="1"/>
  <c r="AC17" i="1" s="1"/>
  <c r="AD17" i="1" s="1"/>
  <c r="Y17" i="1"/>
  <c r="Z17" i="1" s="1"/>
  <c r="AH16" i="1"/>
  <c r="AG16" i="1"/>
  <c r="AF16" i="1"/>
  <c r="AE16" i="1"/>
  <c r="Y16" i="1"/>
  <c r="Z16" i="1" s="1"/>
  <c r="AH15" i="1"/>
  <c r="AG15" i="1"/>
  <c r="AE15" i="1"/>
  <c r="AF15" i="1" s="1"/>
  <c r="Y15" i="1"/>
  <c r="AA15" i="1" s="1"/>
  <c r="AB15" i="1" s="1"/>
  <c r="AH14" i="1"/>
  <c r="AG14" i="1"/>
  <c r="AF14" i="1"/>
  <c r="AE14" i="1"/>
  <c r="Y14" i="1"/>
  <c r="AH13" i="1"/>
  <c r="AG13" i="1"/>
  <c r="AE13" i="1"/>
  <c r="AF13" i="1" s="1"/>
  <c r="AA13" i="1"/>
  <c r="AB13" i="1" s="1"/>
  <c r="AI13" i="1" s="1"/>
  <c r="Z13" i="1"/>
  <c r="Y13" i="1"/>
  <c r="AC13" i="1" s="1"/>
  <c r="AD13" i="1" s="1"/>
  <c r="AH12" i="1"/>
  <c r="AG12" i="1"/>
  <c r="AE12" i="1"/>
  <c r="AF12" i="1" s="1"/>
  <c r="Y12" i="1"/>
  <c r="AH11" i="1"/>
  <c r="AG11" i="1"/>
  <c r="AE11" i="1"/>
  <c r="AF11" i="1" s="1"/>
  <c r="AC11" i="1"/>
  <c r="AD11" i="1" s="1"/>
  <c r="AA11" i="1"/>
  <c r="AB11" i="1" s="1"/>
  <c r="Z11" i="1"/>
  <c r="AI11" i="1" s="1"/>
  <c r="Y11" i="1"/>
  <c r="AH10" i="1"/>
  <c r="AG10" i="1"/>
  <c r="AE10" i="1"/>
  <c r="AF10" i="1" s="1"/>
  <c r="AA10" i="1"/>
  <c r="AC10" i="1" s="1"/>
  <c r="AD10" i="1" s="1"/>
  <c r="Y10" i="1"/>
  <c r="Z10" i="1" s="1"/>
  <c r="AH9" i="1"/>
  <c r="AG9" i="1"/>
  <c r="AF9" i="1"/>
  <c r="AE9" i="1"/>
  <c r="Y9" i="1"/>
  <c r="AH8" i="1"/>
  <c r="AG8" i="1"/>
  <c r="AE8" i="1"/>
  <c r="AF8" i="1" s="1"/>
  <c r="Y8" i="1"/>
  <c r="B8" i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AH7" i="1"/>
  <c r="AG7" i="1"/>
  <c r="AF7" i="1"/>
  <c r="AE7" i="1"/>
  <c r="Y7" i="1"/>
  <c r="B7" i="1"/>
  <c r="AH6" i="1"/>
  <c r="AH43" i="1" s="1"/>
  <c r="AG6" i="1"/>
  <c r="AE6" i="1"/>
  <c r="AF6" i="1" s="1"/>
  <c r="AA6" i="1"/>
  <c r="AB6" i="1" s="1"/>
  <c r="AI6" i="1" s="1"/>
  <c r="Z6" i="1"/>
  <c r="Y6" i="1"/>
  <c r="AC6" i="1" s="1"/>
  <c r="AD6" i="1" s="1"/>
  <c r="A2" i="1"/>
  <c r="A3" i="1"/>
  <c r="V45" i="1" l="1"/>
  <c r="E45" i="1"/>
  <c r="AI17" i="1"/>
  <c r="H45" i="1"/>
  <c r="S45" i="1"/>
  <c r="U45" i="1"/>
  <c r="O41" i="1"/>
  <c r="O45" i="1" s="1"/>
  <c r="I45" i="1"/>
  <c r="AC14" i="1"/>
  <c r="AD14" i="1" s="1"/>
  <c r="N41" i="1"/>
  <c r="N43" i="1"/>
  <c r="N44" i="1" s="1"/>
  <c r="AC12" i="1"/>
  <c r="AD12" i="1" s="1"/>
  <c r="AB17" i="1"/>
  <c r="AA16" i="1"/>
  <c r="AB16" i="1" s="1"/>
  <c r="AI16" i="1" s="1"/>
  <c r="Z8" i="1"/>
  <c r="Z15" i="1"/>
  <c r="AI15" i="1" s="1"/>
  <c r="Q43" i="1"/>
  <c r="Q44" i="1" s="1"/>
  <c r="N45" i="1"/>
  <c r="AA9" i="1"/>
  <c r="AB9" i="1" s="1"/>
  <c r="AA8" i="1"/>
  <c r="AB8" i="1" s="1"/>
  <c r="AC16" i="1"/>
  <c r="AD16" i="1" s="1"/>
  <c r="R43" i="1"/>
  <c r="R44" i="1" s="1"/>
  <c r="Z7" i="1"/>
  <c r="AI7" i="1" s="1"/>
  <c r="Z14" i="1"/>
  <c r="Z21" i="1"/>
  <c r="AA7" i="1"/>
  <c r="AB7" i="1" s="1"/>
  <c r="AA14" i="1"/>
  <c r="AB14" i="1" s="1"/>
  <c r="AC15" i="1"/>
  <c r="AD15" i="1" s="1"/>
  <c r="AA21" i="1"/>
  <c r="AB21" i="1" s="1"/>
  <c r="J40" i="1"/>
  <c r="J41" i="1" s="1"/>
  <c r="Z40" i="1"/>
  <c r="Z41" i="1" s="1"/>
  <c r="R41" i="1"/>
  <c r="R45" i="1" s="1"/>
  <c r="F43" i="1"/>
  <c r="F44" i="1" s="1"/>
  <c r="T43" i="1"/>
  <c r="T44" i="1" s="1"/>
  <c r="Q45" i="1"/>
  <c r="Z9" i="1"/>
  <c r="K40" i="1"/>
  <c r="E41" i="1"/>
  <c r="E43" i="1" s="1"/>
  <c r="S41" i="1"/>
  <c r="S43" i="1" s="1"/>
  <c r="S44" i="1" s="1"/>
  <c r="L40" i="1"/>
  <c r="F41" i="1"/>
  <c r="F45" i="1" s="1"/>
  <c r="T41" i="1"/>
  <c r="T45" i="1" s="1"/>
  <c r="H43" i="1"/>
  <c r="H44" i="1" s="1"/>
  <c r="V43" i="1"/>
  <c r="V44" i="1" s="1"/>
  <c r="Z12" i="1"/>
  <c r="AI12" i="1" s="1"/>
  <c r="Z19" i="1"/>
  <c r="AI19" i="1" s="1"/>
  <c r="M40" i="1"/>
  <c r="I43" i="1"/>
  <c r="I44" i="1" s="1"/>
  <c r="W43" i="1"/>
  <c r="W44" i="1" s="1"/>
  <c r="AA12" i="1"/>
  <c r="AB12" i="1" s="1"/>
  <c r="AA19" i="1"/>
  <c r="AB19" i="1" s="1"/>
  <c r="H41" i="1"/>
  <c r="V41" i="1"/>
  <c r="AB10" i="1"/>
  <c r="AI10" i="1" s="1"/>
  <c r="I41" i="1"/>
  <c r="W41" i="1"/>
  <c r="W45" i="1" s="1"/>
  <c r="E44" i="1" l="1"/>
  <c r="M41" i="1"/>
  <c r="M45" i="1"/>
  <c r="J45" i="1"/>
  <c r="M43" i="1"/>
  <c r="M44" i="1" s="1"/>
  <c r="Z45" i="1"/>
  <c r="O43" i="1"/>
  <c r="O44" i="1" s="1"/>
  <c r="AC19" i="1"/>
  <c r="AD19" i="1" s="1"/>
  <c r="AI8" i="1"/>
  <c r="AI43" i="1" s="1"/>
  <c r="J43" i="1"/>
  <c r="J44" i="1" s="1"/>
  <c r="AI21" i="1"/>
  <c r="AC9" i="1"/>
  <c r="AD9" i="1" s="1"/>
  <c r="AC8" i="1"/>
  <c r="AD8" i="1" s="1"/>
  <c r="L41" i="1"/>
  <c r="L43" i="1" s="1"/>
  <c r="L44" i="1" s="1"/>
  <c r="L45" i="1"/>
  <c r="K41" i="1"/>
  <c r="K43" i="1" s="1"/>
  <c r="K44" i="1" s="1"/>
  <c r="K45" i="1"/>
  <c r="AI9" i="1"/>
  <c r="AI14" i="1"/>
  <c r="AC21" i="1"/>
  <c r="AD21" i="1" s="1"/>
  <c r="AC7" i="1"/>
  <c r="AD7" i="1" s="1"/>
  <c r="Z43" i="1" l="1"/>
  <c r="Z42" i="1"/>
  <c r="AG43" i="1"/>
  <c r="AA43" i="1" s="1"/>
  <c r="Z44" i="1"/>
  <c r="AG44" i="1"/>
</calcChain>
</file>

<file path=xl/sharedStrings.xml><?xml version="1.0" encoding="utf-8"?>
<sst xmlns="http://schemas.openxmlformats.org/spreadsheetml/2006/main" count="126" uniqueCount="103">
  <si>
    <t>Ҳисобот</t>
  </si>
  <si>
    <t>Роҳбари синф:</t>
  </si>
  <si>
    <t>Зокиров Ӯ. Д.</t>
  </si>
  <si>
    <t>Синф</t>
  </si>
  <si>
    <t>Ном  ва насаб</t>
  </si>
  <si>
    <t>Ҷинс</t>
  </si>
  <si>
    <t>Забони модарй</t>
  </si>
  <si>
    <t>Адабиёт</t>
  </si>
  <si>
    <t>Забони русй</t>
  </si>
  <si>
    <t>Забони хориҷӣ</t>
  </si>
  <si>
    <t>Тарихи халки точик</t>
  </si>
  <si>
    <t>Тарихи умумӣ</t>
  </si>
  <si>
    <t>Хукук</t>
  </si>
  <si>
    <t>Маърифати оила</t>
  </si>
  <si>
    <t>Алгебра</t>
  </si>
  <si>
    <t xml:space="preserve">Геометрия </t>
  </si>
  <si>
    <t>Физика</t>
  </si>
  <si>
    <t>Астраномия</t>
  </si>
  <si>
    <t>Химия</t>
  </si>
  <si>
    <t>Биология</t>
  </si>
  <si>
    <t>Географмя</t>
  </si>
  <si>
    <t>Технология</t>
  </si>
  <si>
    <t>Технологияи  иттилотй</t>
  </si>
  <si>
    <t>оих</t>
  </si>
  <si>
    <t>Тарбияи ҷисмонӣ</t>
  </si>
  <si>
    <t>Хол</t>
  </si>
  <si>
    <t>Холи 
миёна</t>
  </si>
  <si>
    <t>Азхудкунӣ</t>
  </si>
  <si>
    <t>Сифатнокӣ</t>
  </si>
  <si>
    <t>Эъзоҳ</t>
  </si>
  <si>
    <t>9-10</t>
  </si>
  <si>
    <t>%</t>
  </si>
  <si>
    <t>7-8</t>
  </si>
  <si>
    <t>4-6</t>
  </si>
  <si>
    <t>1-3</t>
  </si>
  <si>
    <t>Столбец1</t>
  </si>
  <si>
    <t>Столбец2</t>
  </si>
  <si>
    <t>Столбец3</t>
  </si>
  <si>
    <t>Столбец36</t>
  </si>
  <si>
    <t>Столбец4</t>
  </si>
  <si>
    <t>Столбец5</t>
  </si>
  <si>
    <t>Столбец6</t>
  </si>
  <si>
    <t>Столбец7</t>
  </si>
  <si>
    <t>Столбец8</t>
  </si>
  <si>
    <t>Столбец9</t>
  </si>
  <si>
    <t>Столбец10</t>
  </si>
  <si>
    <t>Столбец11</t>
  </si>
  <si>
    <t>Столбец12</t>
  </si>
  <si>
    <t>Столбец13</t>
  </si>
  <si>
    <t>Столбец14</t>
  </si>
  <si>
    <t>Столбец15</t>
  </si>
  <si>
    <t>Столбец16</t>
  </si>
  <si>
    <t>Столбец17</t>
  </si>
  <si>
    <t>Столбец18</t>
  </si>
  <si>
    <t>Столбец19</t>
  </si>
  <si>
    <t>Столбец20</t>
  </si>
  <si>
    <t>Столбец21</t>
  </si>
  <si>
    <t>Столбец22</t>
  </si>
  <si>
    <t>Столбец23</t>
  </si>
  <si>
    <t>Столбец24</t>
  </si>
  <si>
    <t>Столбец25</t>
  </si>
  <si>
    <t>Столбец26</t>
  </si>
  <si>
    <t>Столбец27</t>
  </si>
  <si>
    <t>Столбец28</t>
  </si>
  <si>
    <t>Столбец29</t>
  </si>
  <si>
    <t>Столбец30</t>
  </si>
  <si>
    <t>Столбец31</t>
  </si>
  <si>
    <t>Столбец32</t>
  </si>
  <si>
    <t>Столбец33</t>
  </si>
  <si>
    <t>Столбец34</t>
  </si>
  <si>
    <t>Столбец35</t>
  </si>
  <si>
    <t>10-Б</t>
  </si>
  <si>
    <t>Аминҷонова_Ганҷина</t>
  </si>
  <si>
    <t>д</t>
  </si>
  <si>
    <t>Кенҷаев_Шохрух</t>
  </si>
  <si>
    <t>п</t>
  </si>
  <si>
    <t>Қурбонбоева_Дурдон</t>
  </si>
  <si>
    <t>Маликаи_Илхомзода</t>
  </si>
  <si>
    <t>Махкамова_Гулсанам</t>
  </si>
  <si>
    <t>Рустамзода_Райхона</t>
  </si>
  <si>
    <t>Тошев_Шахриёр</t>
  </si>
  <si>
    <t>Тошова_Фаришта</t>
  </si>
  <si>
    <t>Халимов_Анишервон</t>
  </si>
  <si>
    <t>Хасанова_Азиза</t>
  </si>
  <si>
    <t>Худойбердиева_Дила</t>
  </si>
  <si>
    <t>Хусейнов_Дилшод</t>
  </si>
  <si>
    <t>Ҷумаев_Фариддун</t>
  </si>
  <si>
    <t>Шерқӯзиев_Низомид</t>
  </si>
  <si>
    <t>Шерқӯзиева_Шабнам</t>
  </si>
  <si>
    <t>Шермонов_Самандар</t>
  </si>
  <si>
    <r>
      <rPr>
        <sz val="11"/>
        <color theme="1"/>
        <rFont val="Wingdings"/>
        <charset val="2"/>
      </rPr>
      <t xml:space="preserve">ß </t>
    </r>
    <r>
      <rPr>
        <sz val="10.1"/>
        <color theme="1"/>
        <rFont val="Calibri"/>
        <family val="2"/>
        <charset val="204"/>
      </rPr>
      <t>Танҳо бо 9–10</t>
    </r>
  </si>
  <si>
    <t>Холи
миёна</t>
  </si>
  <si>
    <t>Азхудкуни</t>
  </si>
  <si>
    <t>Сифати 
таҳсил</t>
  </si>
  <si>
    <r>
      <rPr>
        <sz val="11"/>
        <color theme="1"/>
        <rFont val="Wingdings"/>
        <charset val="2"/>
      </rPr>
      <t xml:space="preserve">ß </t>
    </r>
    <r>
      <rPr>
        <sz val="10.1"/>
        <color theme="1"/>
        <rFont val="Calibri"/>
        <family val="2"/>
        <charset val="204"/>
      </rPr>
      <t>Танҳо бо 7–8</t>
    </r>
  </si>
  <si>
    <r>
      <rPr>
        <sz val="11"/>
        <color theme="1"/>
        <rFont val="Wingdings"/>
        <charset val="2"/>
      </rPr>
      <t xml:space="preserve">ß </t>
    </r>
    <r>
      <rPr>
        <sz val="10.1"/>
        <color theme="1"/>
        <rFont val="Calibri"/>
        <family val="2"/>
        <charset val="204"/>
      </rPr>
      <t>Танҳо бо 4–6</t>
    </r>
  </si>
  <si>
    <r>
      <rPr>
        <sz val="11"/>
        <color theme="1"/>
        <rFont val="Wingdings"/>
        <charset val="2"/>
      </rPr>
      <t xml:space="preserve">ß </t>
    </r>
    <r>
      <rPr>
        <sz val="10.1"/>
        <color theme="1"/>
        <rFont val="Calibri"/>
        <family val="2"/>
        <charset val="204"/>
      </rPr>
      <t>Танҳо бо 1–3</t>
    </r>
  </si>
  <si>
    <t>Холи миёна</t>
  </si>
  <si>
    <t>Фоиз</t>
  </si>
  <si>
    <t>Шумораи хонандагон</t>
  </si>
  <si>
    <t>Духтарон</t>
  </si>
  <si>
    <t>Муовини директор оид бо корҳои таълим:    _______________________  Калонхӯҷаева М</t>
  </si>
  <si>
    <t xml:space="preserve">                               Директори МТМУ №20:    _______________________  Одинаев  С. З.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</si>
</sst>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7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1"/>
      <color theme="1"/>
      <name val="Calibri"/>
      <family val="2"/>
      <charset val="2"/>
    </font>
    <font>
      <sz val="11"/>
      <color theme="1"/>
      <name val="Wingdings"/>
      <charset val="2"/>
    </font>
    <font>
      <sz val="10.1"/>
      <color theme="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1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 textRotation="90"/>
    </xf>
    <xf numFmtId="0" fontId="0" fillId="0" borderId="4" xfId="0" applyFont="1" applyFill="1" applyBorder="1" applyAlignment="1">
      <alignment horizontal="center" vertical="center" textRotation="90" wrapText="1"/>
    </xf>
    <xf numFmtId="0" fontId="2" fillId="0" borderId="4" xfId="0" applyFont="1" applyFill="1" applyBorder="1" applyAlignment="1">
      <alignment horizontal="center" vertical="center" textRotation="90"/>
    </xf>
    <xf numFmtId="0" fontId="0" fillId="0" borderId="6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 textRotation="90"/>
    </xf>
    <xf numFmtId="49" fontId="0" fillId="0" borderId="5" xfId="0" applyNumberFormat="1" applyFont="1" applyFill="1" applyBorder="1" applyAlignment="1">
      <alignment horizontal="center" vertical="center" textRotation="90"/>
    </xf>
    <xf numFmtId="49" fontId="0" fillId="0" borderId="5" xfId="0" applyNumberFormat="1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 textRotation="90"/>
    </xf>
    <xf numFmtId="0" fontId="0" fillId="0" borderId="3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left" vertical="center" wrapText="1"/>
    </xf>
    <xf numFmtId="164" fontId="0" fillId="0" borderId="4" xfId="0" applyNumberFormat="1" applyFont="1" applyFill="1" applyBorder="1" applyAlignment="1">
      <alignment horizontal="center" vertical="center"/>
    </xf>
    <xf numFmtId="2" fontId="0" fillId="0" borderId="4" xfId="0" applyNumberFormat="1" applyFont="1" applyFill="1" applyBorder="1" applyAlignment="1">
      <alignment horizontal="center" vertical="center"/>
    </xf>
    <xf numFmtId="0" fontId="0" fillId="0" borderId="0" xfId="0" applyFont="1" applyFill="1"/>
    <xf numFmtId="0" fontId="0" fillId="0" borderId="1" xfId="0" applyFont="1" applyFill="1" applyBorder="1" applyAlignment="1">
      <alignment horizontal="center" vertical="center"/>
    </xf>
    <xf numFmtId="1" fontId="3" fillId="0" borderId="4" xfId="0" applyNumberFormat="1" applyFont="1" applyFill="1" applyBorder="1" applyAlignment="1">
      <alignment horizontal="center" vertical="center" wrapText="1"/>
    </xf>
    <xf numFmtId="1" fontId="3" fillId="0" borderId="4" xfId="0" applyNumberFormat="1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left" vertical="center" wrapText="1"/>
    </xf>
    <xf numFmtId="1" fontId="3" fillId="0" borderId="5" xfId="0" applyNumberFormat="1" applyFont="1" applyFill="1" applyBorder="1" applyAlignment="1">
      <alignment horizontal="center" vertical="center" wrapText="1"/>
    </xf>
    <xf numFmtId="1" fontId="3" fillId="0" borderId="5" xfId="0" applyNumberFormat="1" applyFont="1" applyFill="1" applyBorder="1" applyAlignment="1">
      <alignment horizontal="left" vertical="center" wrapText="1"/>
    </xf>
    <xf numFmtId="0" fontId="0" fillId="0" borderId="7" xfId="0" applyFont="1" applyFill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1" fontId="0" fillId="0" borderId="5" xfId="0" applyNumberFormat="1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49" fontId="0" fillId="0" borderId="4" xfId="0" applyNumberFormat="1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0" fillId="0" borderId="2" xfId="0" applyFont="1" applyBorder="1" applyAlignment="1">
      <alignment horizontal="left" vertical="center"/>
    </xf>
    <xf numFmtId="0" fontId="0" fillId="0" borderId="3" xfId="0" applyFont="1" applyBorder="1" applyAlignment="1">
      <alignment horizontal="left" vertical="center"/>
    </xf>
    <xf numFmtId="164" fontId="0" fillId="0" borderId="4" xfId="0" applyNumberFormat="1" applyFont="1" applyBorder="1" applyAlignment="1">
      <alignment horizontal="center" vertical="center"/>
    </xf>
    <xf numFmtId="2" fontId="0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textRotation="90" wrapText="1"/>
    </xf>
    <xf numFmtId="164" fontId="0" fillId="0" borderId="5" xfId="0" applyNumberFormat="1" applyFont="1" applyBorder="1" applyAlignment="1">
      <alignment horizontal="center" vertical="center" textRotation="90" wrapText="1"/>
    </xf>
    <xf numFmtId="0" fontId="0" fillId="0" borderId="9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2" fontId="0" fillId="0" borderId="11" xfId="0" applyNumberFormat="1" applyFont="1" applyBorder="1" applyAlignment="1">
      <alignment horizontal="center" vertical="center"/>
    </xf>
    <xf numFmtId="0" fontId="0" fillId="0" borderId="11" xfId="0" applyFont="1" applyBorder="1" applyAlignment="1">
      <alignment horizontal="center" vertical="center" textRotation="90"/>
    </xf>
    <xf numFmtId="164" fontId="0" fillId="0" borderId="11" xfId="0" applyNumberFormat="1" applyFont="1" applyBorder="1" applyAlignment="1">
      <alignment horizontal="center" vertical="center" textRotation="90"/>
    </xf>
    <xf numFmtId="1" fontId="0" fillId="0" borderId="4" xfId="0" applyNumberFormat="1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2" fontId="0" fillId="0" borderId="6" xfId="0" applyNumberFormat="1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 textRotation="90"/>
    </xf>
    <xf numFmtId="164" fontId="0" fillId="0" borderId="6" xfId="0" applyNumberFormat="1" applyFont="1" applyBorder="1" applyAlignment="1">
      <alignment horizontal="center" vertical="center" textRotation="90"/>
    </xf>
    <xf numFmtId="49" fontId="0" fillId="2" borderId="1" xfId="0" applyNumberFormat="1" applyFont="1" applyFill="1" applyBorder="1" applyAlignment="1">
      <alignment horizontal="center" vertical="center"/>
    </xf>
    <xf numFmtId="49" fontId="0" fillId="2" borderId="2" xfId="0" applyNumberFormat="1" applyFont="1" applyFill="1" applyBorder="1" applyAlignment="1">
      <alignment horizontal="center" vertical="center"/>
    </xf>
    <xf numFmtId="49" fontId="0" fillId="2" borderId="3" xfId="0" applyNumberFormat="1" applyFont="1" applyFill="1" applyBorder="1" applyAlignment="1">
      <alignment horizontal="center" vertical="center"/>
    </xf>
    <xf numFmtId="49" fontId="0" fillId="2" borderId="3" xfId="0" applyNumberFormat="1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2" fontId="0" fillId="2" borderId="4" xfId="0" applyNumberFormat="1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4" xfId="0" applyFont="1" applyBorder="1" applyAlignment="1">
      <alignment vertical="center"/>
    </xf>
    <xf numFmtId="2" fontId="0" fillId="0" borderId="4" xfId="0" applyNumberFormat="1" applyFont="1" applyBorder="1" applyAlignment="1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2" fontId="0" fillId="0" borderId="4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0" fontId="0" fillId="0" borderId="4" xfId="0" applyFont="1" applyBorder="1"/>
    <xf numFmtId="0" fontId="0" fillId="3" borderId="0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164" fontId="0" fillId="0" borderId="0" xfId="0" applyNumberFormat="1" applyFont="1" applyBorder="1" applyAlignment="1">
      <alignment horizontal="center" vertical="center"/>
    </xf>
    <xf numFmtId="2" fontId="0" fillId="0" borderId="0" xfId="0" applyNumberFormat="1" applyFont="1" applyBorder="1" applyAlignment="1">
      <alignment horizontal="center" vertical="center"/>
    </xf>
    <xf numFmtId="0" fontId="0" fillId="0" borderId="0" xfId="0" applyFont="1" applyBorder="1"/>
    <xf numFmtId="0" fontId="0" fillId="0" borderId="0" xfId="0" applyFont="1" applyBorder="1" applyAlignment="1">
      <alignment horizontal="center" vertical="center"/>
    </xf>
  </cellXfs>
  <cellStyles count="1">
    <cellStyle name="Обычный" xfId="0" builtinId="0"/>
  </cellStyles>
  <dxfs count="3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202;&#1080;&#1089;&#1086;&#1073;&#1086;&#1090;%20&#1057;&#1080;&#1085;&#1092;&#1080;%2010&#1041;%20%20%2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А"/>
      <sheetName val="10А"/>
      <sheetName val="10Б"/>
      <sheetName val="9А"/>
      <sheetName val="9Б"/>
      <sheetName val="8А"/>
      <sheetName val="8Б"/>
      <sheetName val="7А"/>
      <sheetName val="7Б"/>
      <sheetName val="6А"/>
      <sheetName val="6Б"/>
      <sheetName val="5А"/>
      <sheetName val="5Б"/>
      <sheetName val="Рӯйхат"/>
      <sheetName val="Ҳисобот"/>
      <sheetName val="Чораклар"/>
      <sheetName val="Умум"/>
      <sheetName val="Асос"/>
      <sheetName val="2 лис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">
          <cell r="A1" t="str">
            <v>Фан</v>
          </cell>
          <cell r="B1" t="str">
            <v>Хол</v>
          </cell>
        </row>
        <row r="2">
          <cell r="A2" t="str">
            <v>Забони модарй</v>
          </cell>
          <cell r="B2">
            <v>74.444444444444443</v>
          </cell>
        </row>
        <row r="3">
          <cell r="A3" t="str">
            <v>Адабиёт</v>
          </cell>
          <cell r="B3">
            <v>77.777777777777771</v>
          </cell>
        </row>
        <row r="4">
          <cell r="A4" t="str">
            <v>Забони русй</v>
          </cell>
          <cell r="B4">
            <v>73.333333333333329</v>
          </cell>
        </row>
        <row r="5">
          <cell r="A5" t="str">
            <v>Забони хориҷӣ</v>
          </cell>
          <cell r="B5">
            <v>78.888888888888886</v>
          </cell>
        </row>
        <row r="6">
          <cell r="A6" t="str">
            <v>Тарихи халки точик</v>
          </cell>
          <cell r="B6">
            <v>75.555555555555557</v>
          </cell>
        </row>
        <row r="7">
          <cell r="A7" t="str">
            <v>Тарихи умумӣ</v>
          </cell>
          <cell r="B7">
            <v>77.777777777777771</v>
          </cell>
        </row>
        <row r="8">
          <cell r="A8" t="str">
            <v>Хукук</v>
          </cell>
          <cell r="B8">
            <v>75</v>
          </cell>
        </row>
        <row r="9">
          <cell r="A9" t="str">
            <v>Маърифати оила</v>
          </cell>
          <cell r="B9">
            <v>74.444444444444443</v>
          </cell>
        </row>
        <row r="10">
          <cell r="A10" t="str">
            <v>Алгебра</v>
          </cell>
          <cell r="B10">
            <v>81.111111111111114</v>
          </cell>
        </row>
        <row r="11">
          <cell r="A11" t="str">
            <v xml:space="preserve">Геометрия </v>
          </cell>
          <cell r="B11">
            <v>85.555555555555557</v>
          </cell>
        </row>
        <row r="12">
          <cell r="A12" t="str">
            <v>Физика</v>
          </cell>
          <cell r="B12">
            <v>82.777777777777786</v>
          </cell>
        </row>
        <row r="13">
          <cell r="A13" t="str">
            <v>Астраномия</v>
          </cell>
          <cell r="B13">
            <v>84.444444444444443</v>
          </cell>
        </row>
        <row r="14">
          <cell r="A14" t="str">
            <v>Химия</v>
          </cell>
          <cell r="B14">
            <v>82.222222222222214</v>
          </cell>
        </row>
        <row r="15">
          <cell r="A15" t="str">
            <v>Биология</v>
          </cell>
          <cell r="B15">
            <v>77.777777777777771</v>
          </cell>
        </row>
        <row r="16">
          <cell r="A16" t="str">
            <v>Географмя</v>
          </cell>
          <cell r="B16">
            <v>76.666666666666671</v>
          </cell>
        </row>
        <row r="17">
          <cell r="A17" t="str">
            <v>Технология</v>
          </cell>
          <cell r="B17">
            <v>87.222222222222214</v>
          </cell>
        </row>
        <row r="18">
          <cell r="A18" t="str">
            <v>Технологияи  иттилотй</v>
          </cell>
          <cell r="B18">
            <v>83.333333333333343</v>
          </cell>
        </row>
        <row r="19">
          <cell r="A19" t="str">
            <v>оих</v>
          </cell>
          <cell r="B19">
            <v>97.64705882352942</v>
          </cell>
        </row>
        <row r="20">
          <cell r="A20" t="str">
            <v>Тарбияи ҷисмонӣ</v>
          </cell>
          <cell r="B20">
            <v>90.555555555555557</v>
          </cell>
        </row>
        <row r="21">
          <cell r="B21" t="str">
            <v/>
          </cell>
        </row>
      </sheetData>
      <sheetData sheetId="16"/>
      <sheetData sheetId="17"/>
      <sheetData sheetId="18"/>
    </sheetDataSet>
  </externalBook>
</externalLink>
</file>

<file path=xl/tables/table1.xml><?xml version="1.0" encoding="utf-8"?>
<table xmlns="http://schemas.openxmlformats.org/spreadsheetml/2006/main" id="1" name="Таблица1" displayName="Таблица1" ref="A5:AJ38" totalsRowShown="0" dataDxfId="37" tableBorderDxfId="36">
  <autoFilter ref="A5:AJ38"/>
  <tableColumns count="36">
    <tableColumn id="1" name="Столбец1" dataDxfId="35"/>
    <tableColumn id="2" name="Столбец2" dataDxfId="34"/>
    <tableColumn id="3" name="Столбец3" dataDxfId="33"/>
    <tableColumn id="36" name="Столбец36" dataDxfId="32"/>
    <tableColumn id="4" name="Столбец4" dataDxfId="31"/>
    <tableColumn id="5" name="Столбец5" dataDxfId="30"/>
    <tableColumn id="6" name="Столбец6" dataDxfId="29"/>
    <tableColumn id="7" name="Столбец7" dataDxfId="28"/>
    <tableColumn id="8" name="Столбец8" dataDxfId="27"/>
    <tableColumn id="9" name="Столбец9" dataDxfId="26"/>
    <tableColumn id="10" name="Столбец10" dataDxfId="25"/>
    <tableColumn id="11" name="Столбец11" dataDxfId="24"/>
    <tableColumn id="12" name="Столбец12" dataDxfId="23"/>
    <tableColumn id="13" name="Столбец13" dataDxfId="22"/>
    <tableColumn id="14" name="Столбец14" dataDxfId="21"/>
    <tableColumn id="15" name="Столбец15" dataDxfId="20"/>
    <tableColumn id="16" name="Столбец16" dataDxfId="19"/>
    <tableColumn id="17" name="Столбец17" dataDxfId="18"/>
    <tableColumn id="18" name="Столбец18" dataDxfId="17"/>
    <tableColumn id="19" name="Столбец19" dataDxfId="16"/>
    <tableColumn id="20" name="Столбец20" dataDxfId="15"/>
    <tableColumn id="21" name="Столбец21" dataDxfId="14"/>
    <tableColumn id="22" name="Столбец22" dataDxfId="13"/>
    <tableColumn id="23" name="Столбец23" dataDxfId="12"/>
    <tableColumn id="24" name="Столбец24" dataDxfId="11">
      <calculatedColumnFormula>IF(COUNT($E6:$X6)&gt;0,COUNTIF($E6:$X6,"&gt;=9"),"")</calculatedColumnFormula>
    </tableColumn>
    <tableColumn id="25" name="Столбец25" dataDxfId="10">
      <calculatedColumnFormula>IF(COUNT($E6:$X6)&gt;0,Y6/COUNT($E6:$X6)*100,"")</calculatedColumnFormula>
    </tableColumn>
    <tableColumn id="26" name="Столбец26" dataDxfId="9">
      <calculatedColumnFormula>IF(COUNT($E6:$X6)&gt;0,COUNTIF($E6:$X6,"&gt;=7")-Y6,"")</calculatedColumnFormula>
    </tableColumn>
    <tableColumn id="27" name="Столбец27" dataDxfId="8">
      <calculatedColumnFormula>IF(COUNT($E6:$X6)&gt;0,AA6/COUNT($E6:$X6)*100,"")</calculatedColumnFormula>
    </tableColumn>
    <tableColumn id="28" name="Столбец28" dataDxfId="7">
      <calculatedColumnFormula>IF(COUNT($E6:$X6)&gt;0,COUNTIF($E6:$X6,"&gt;=4")-(Y6+AA6),"")</calculatedColumnFormula>
    </tableColumn>
    <tableColumn id="29" name="Столбец29" dataDxfId="6">
      <calculatedColumnFormula>IF(COUNT($E6:$X6)&gt;0,AC6/COUNT($E6:$X6)*100,"")</calculatedColumnFormula>
    </tableColumn>
    <tableColumn id="30" name="Столбец30" dataDxfId="5">
      <calculatedColumnFormula>IF(COUNT($E6:$X6)&gt;0,COUNTIF($E6:$X6,"&lt;4"),"")</calculatedColumnFormula>
    </tableColumn>
    <tableColumn id="31" name="Столбец31" dataDxfId="4">
      <calculatedColumnFormula>IF(COUNT($E6:$X6)&gt;0,AE6/COUNT($E6:$X6)*100,"")</calculatedColumnFormula>
    </tableColumn>
    <tableColumn id="32" name="Столбец32" dataDxfId="3">
      <calculatedColumnFormula>IF(COUNT(E6:W6)&gt;0,AVERAGE(E6:W6),"")</calculatedColumnFormula>
    </tableColumn>
    <tableColumn id="33" name="Столбец33" dataDxfId="2">
      <calculatedColumnFormula>IF(COUNT(E6:W6)&gt;0,100,"")</calculatedColumnFormula>
    </tableColumn>
    <tableColumn id="34" name="Столбец34" dataDxfId="1">
      <calculatedColumnFormula>IF(COUNT(E6:W6)&gt;0,Z6+AB6,"")</calculatedColumnFormula>
    </tableColumn>
    <tableColumn id="35" name="Столбец3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50"/>
  <sheetViews>
    <sheetView showZeros="0" tabSelected="1" zoomScale="40" zoomScaleNormal="40" zoomScaleSheetLayoutView="41" workbookViewId="0">
      <selection activeCell="E44" sqref="E44"/>
    </sheetView>
  </sheetViews>
  <sheetFormatPr defaultRowHeight="14.5"/>
  <cols>
    <col min="1" max="1" width="3.6328125" style="4" customWidth="1"/>
    <col min="2" max="2" width="5.1796875" style="4" customWidth="1"/>
    <col min="3" max="3" width="22.36328125" style="4" customWidth="1"/>
    <col min="4" max="4" width="3" style="4" customWidth="1"/>
    <col min="5" max="24" width="3.1796875" style="4" customWidth="1"/>
    <col min="25" max="25" width="3.6328125" style="4" customWidth="1"/>
    <col min="26" max="26" width="7.7265625" style="4" customWidth="1"/>
    <col min="27" max="27" width="3.6328125" style="4" customWidth="1"/>
    <col min="28" max="28" width="5.6328125" style="4" customWidth="1"/>
    <col min="29" max="29" width="3.6328125" style="4" customWidth="1"/>
    <col min="30" max="30" width="5.6328125" style="4" customWidth="1"/>
    <col min="31" max="31" width="3.6328125" style="4" customWidth="1"/>
    <col min="32" max="32" width="4.54296875" style="4" customWidth="1"/>
    <col min="33" max="33" width="7.6328125" style="4" customWidth="1"/>
    <col min="34" max="34" width="5.1796875" style="4" customWidth="1"/>
    <col min="35" max="35" width="7.08984375" style="4" customWidth="1"/>
    <col min="36" max="36" width="6.6328125" style="4" customWidth="1"/>
    <col min="37" max="16384" width="8.7265625" style="4"/>
  </cols>
  <sheetData>
    <row r="1" spans="1:36" ht="12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  <c r="AA1" s="1" t="s">
        <v>1</v>
      </c>
      <c r="AB1" s="2"/>
      <c r="AC1" s="2"/>
      <c r="AD1" s="2"/>
      <c r="AE1" s="2"/>
      <c r="AF1" s="3"/>
      <c r="AG1" s="1" t="s">
        <v>2</v>
      </c>
      <c r="AH1" s="2"/>
      <c r="AI1" s="2"/>
      <c r="AJ1" s="3"/>
    </row>
    <row r="2" spans="1:36" ht="13" customHeight="1">
      <c r="A2" s="5" t="str">
        <f>CONCATENATE("чоряки 1-ум дар синфи ", B6, " муассисаи таҳсилоти  миёнаи умумии №20-и ноҳияи Зафаробод соли таҳсили 2025-2026")</f>
        <v>чоряки 1-ум дар синфи 10-Б муассисаи таҳсилоти  миёнаи умумии №20-и ноҳияи Зафаробод соли таҳсили 2025-2026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</row>
    <row r="3" spans="1:36">
      <c r="A3" s="5" t="e">
        <f ca="1">INDIRECT("'"&amp;$A$1&amp;"'!A3")</f>
        <v>#REF!</v>
      </c>
      <c r="B3" s="6" t="s">
        <v>3</v>
      </c>
      <c r="C3" s="6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  <c r="K3" s="7" t="s">
        <v>12</v>
      </c>
      <c r="L3" s="7" t="s">
        <v>13</v>
      </c>
      <c r="M3" s="7" t="s">
        <v>14</v>
      </c>
      <c r="N3" s="7" t="s">
        <v>15</v>
      </c>
      <c r="O3" s="7" t="s">
        <v>16</v>
      </c>
      <c r="P3" s="7" t="s">
        <v>17</v>
      </c>
      <c r="Q3" s="7" t="s">
        <v>18</v>
      </c>
      <c r="R3" s="7" t="s">
        <v>19</v>
      </c>
      <c r="S3" s="7" t="s">
        <v>20</v>
      </c>
      <c r="T3" s="7" t="s">
        <v>21</v>
      </c>
      <c r="U3" s="7" t="s">
        <v>22</v>
      </c>
      <c r="V3" s="7" t="s">
        <v>23</v>
      </c>
      <c r="W3" s="7" t="s">
        <v>24</v>
      </c>
      <c r="X3" s="7"/>
      <c r="Y3" s="5" t="s">
        <v>25</v>
      </c>
      <c r="Z3" s="5"/>
      <c r="AA3" s="5"/>
      <c r="AB3" s="5"/>
      <c r="AC3" s="5"/>
      <c r="AD3" s="5"/>
      <c r="AE3" s="5"/>
      <c r="AF3" s="5"/>
      <c r="AG3" s="8" t="s">
        <v>26</v>
      </c>
      <c r="AH3" s="9" t="s">
        <v>27</v>
      </c>
      <c r="AI3" s="7" t="s">
        <v>28</v>
      </c>
      <c r="AJ3" s="7" t="s">
        <v>29</v>
      </c>
    </row>
    <row r="4" spans="1:36" ht="36" customHeight="1">
      <c r="A4" s="6"/>
      <c r="B4" s="10"/>
      <c r="C4" s="10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2" t="s">
        <v>30</v>
      </c>
      <c r="Z4" s="13" t="s">
        <v>31</v>
      </c>
      <c r="AA4" s="12" t="s">
        <v>32</v>
      </c>
      <c r="AB4" s="13" t="s">
        <v>31</v>
      </c>
      <c r="AC4" s="12" t="s">
        <v>33</v>
      </c>
      <c r="AD4" s="13" t="s">
        <v>31</v>
      </c>
      <c r="AE4" s="12" t="s">
        <v>34</v>
      </c>
      <c r="AF4" s="13" t="s">
        <v>31</v>
      </c>
      <c r="AG4" s="11"/>
      <c r="AH4" s="14"/>
      <c r="AI4" s="11"/>
      <c r="AJ4" s="11"/>
    </row>
    <row r="5" spans="1:36" ht="108.5" hidden="1">
      <c r="A5" s="15" t="s">
        <v>35</v>
      </c>
      <c r="B5" s="16" t="s">
        <v>36</v>
      </c>
      <c r="C5" s="17" t="s">
        <v>37</v>
      </c>
      <c r="D5" s="17" t="s">
        <v>38</v>
      </c>
      <c r="E5" s="17" t="s">
        <v>39</v>
      </c>
      <c r="F5" s="17" t="s">
        <v>40</v>
      </c>
      <c r="G5" s="17" t="s">
        <v>41</v>
      </c>
      <c r="H5" s="17" t="s">
        <v>42</v>
      </c>
      <c r="I5" s="17" t="s">
        <v>43</v>
      </c>
      <c r="J5" s="17" t="s">
        <v>44</v>
      </c>
      <c r="K5" s="17" t="s">
        <v>45</v>
      </c>
      <c r="L5" s="17" t="s">
        <v>46</v>
      </c>
      <c r="M5" s="17" t="s">
        <v>47</v>
      </c>
      <c r="N5" s="17" t="s">
        <v>48</v>
      </c>
      <c r="O5" s="17" t="s">
        <v>49</v>
      </c>
      <c r="P5" s="17" t="s">
        <v>50</v>
      </c>
      <c r="Q5" s="17" t="s">
        <v>51</v>
      </c>
      <c r="R5" s="17" t="s">
        <v>52</v>
      </c>
      <c r="S5" s="17" t="s">
        <v>53</v>
      </c>
      <c r="T5" s="17" t="s">
        <v>54</v>
      </c>
      <c r="U5" s="17" t="s">
        <v>55</v>
      </c>
      <c r="V5" s="17" t="s">
        <v>56</v>
      </c>
      <c r="W5" s="17" t="s">
        <v>57</v>
      </c>
      <c r="X5" s="17" t="s">
        <v>58</v>
      </c>
      <c r="Y5" s="16" t="s">
        <v>59</v>
      </c>
      <c r="Z5" s="18" t="s">
        <v>60</v>
      </c>
      <c r="AA5" s="16" t="s">
        <v>61</v>
      </c>
      <c r="AB5" s="18" t="s">
        <v>62</v>
      </c>
      <c r="AC5" s="16" t="s">
        <v>63</v>
      </c>
      <c r="AD5" s="18" t="s">
        <v>64</v>
      </c>
      <c r="AE5" s="16" t="s">
        <v>65</v>
      </c>
      <c r="AF5" s="18" t="s">
        <v>66</v>
      </c>
      <c r="AG5" s="19" t="s">
        <v>67</v>
      </c>
      <c r="AH5" s="20" t="s">
        <v>68</v>
      </c>
      <c r="AI5" s="18" t="s">
        <v>69</v>
      </c>
      <c r="AJ5" s="21" t="s">
        <v>70</v>
      </c>
    </row>
    <row r="6" spans="1:36" ht="12.5" customHeight="1">
      <c r="A6" s="15">
        <v>1</v>
      </c>
      <c r="B6" s="16" t="s">
        <v>71</v>
      </c>
      <c r="C6" s="17" t="s">
        <v>72</v>
      </c>
      <c r="D6" s="17" t="s">
        <v>73</v>
      </c>
      <c r="E6" s="22">
        <v>8</v>
      </c>
      <c r="F6" s="22">
        <v>9</v>
      </c>
      <c r="G6" s="22">
        <v>7</v>
      </c>
      <c r="H6" s="22">
        <v>10</v>
      </c>
      <c r="I6" s="22">
        <v>9</v>
      </c>
      <c r="J6" s="22">
        <v>10</v>
      </c>
      <c r="K6" s="22">
        <v>8</v>
      </c>
      <c r="L6" s="22">
        <v>8</v>
      </c>
      <c r="M6" s="22">
        <v>10</v>
      </c>
      <c r="N6" s="22">
        <v>10</v>
      </c>
      <c r="O6" s="22">
        <v>10</v>
      </c>
      <c r="P6" s="22">
        <v>10</v>
      </c>
      <c r="Q6" s="22">
        <v>8</v>
      </c>
      <c r="R6" s="22">
        <v>9</v>
      </c>
      <c r="S6" s="22">
        <v>9</v>
      </c>
      <c r="T6" s="22">
        <v>9</v>
      </c>
      <c r="U6" s="22">
        <v>10</v>
      </c>
      <c r="V6" s="23">
        <v>10</v>
      </c>
      <c r="W6" s="23">
        <v>10</v>
      </c>
      <c r="X6" s="23"/>
      <c r="Y6" s="16">
        <f t="shared" ref="Y6:Y38" si="0">IF(COUNT($E6:$X6)&gt;0,COUNTIF($E6:$X6,"&gt;=9"),"")</f>
        <v>14</v>
      </c>
      <c r="Z6" s="18">
        <f t="shared" ref="Z6:Z38" si="1">IF(COUNT($E6:$X6)&gt;0,Y6/COUNT($E6:$X6)*100,"")</f>
        <v>73.68421052631578</v>
      </c>
      <c r="AA6" s="16">
        <f t="shared" ref="AA6:AA38" si="2">IF(COUNT($E6:$X6)&gt;0,COUNTIF($E6:$X6,"&gt;=7")-Y6,"")</f>
        <v>5</v>
      </c>
      <c r="AB6" s="18">
        <f t="shared" ref="AB6:AB38" si="3">IF(COUNT($E6:$X6)&gt;0,AA6/COUNT($E6:$X6)*100,"")</f>
        <v>26.315789473684209</v>
      </c>
      <c r="AC6" s="16">
        <f t="shared" ref="AC6:AC38" si="4">IF(COUNT($E6:$X6)&gt;0,COUNTIF($E6:$X6,"&gt;=4")-(Y6+AA6),"")</f>
        <v>0</v>
      </c>
      <c r="AD6" s="18">
        <f t="shared" ref="AD6:AD38" si="5">IF(COUNT($E6:$X6)&gt;0,AC6/COUNT($E6:$X6)*100,"")</f>
        <v>0</v>
      </c>
      <c r="AE6" s="16">
        <f t="shared" ref="AE6:AE38" si="6">IF(COUNT($E6:$X6)&gt;0,COUNTIF($E6:$X6,"&lt;4"),"")</f>
        <v>0</v>
      </c>
      <c r="AF6" s="18">
        <f t="shared" ref="AF6:AF38" si="7">IF(COUNT($E6:$X6)&gt;0,AE6/COUNT($E6:$X6)*100,"")</f>
        <v>0</v>
      </c>
      <c r="AG6" s="19">
        <f t="shared" ref="AG6:AG38" si="8">IF(COUNT(E6:W6)&gt;0,AVERAGE(E6:W6),"")</f>
        <v>9.1578947368421044</v>
      </c>
      <c r="AH6" s="20">
        <f t="shared" ref="AH6:AH38" si="9">IF(COUNT(E6:W6)&gt;0,100,"")</f>
        <v>100</v>
      </c>
      <c r="AI6" s="18">
        <f t="shared" ref="AI6:AI38" si="10">IF(COUNT(E6:W6)&gt;0,Z6+AB6,"")</f>
        <v>99.999999999999986</v>
      </c>
      <c r="AJ6" s="21"/>
    </row>
    <row r="7" spans="1:36" ht="12.5" customHeight="1">
      <c r="A7" s="15">
        <v>2</v>
      </c>
      <c r="B7" s="16" t="str">
        <f>IF(Таблица1[[#This Row],[Столбец3]]&lt;&gt;"",B6,"")</f>
        <v>10-Б</v>
      </c>
      <c r="C7" s="17" t="s">
        <v>74</v>
      </c>
      <c r="D7" s="17" t="s">
        <v>75</v>
      </c>
      <c r="E7" s="22">
        <v>6</v>
      </c>
      <c r="F7" s="22">
        <v>6</v>
      </c>
      <c r="G7" s="22">
        <v>6</v>
      </c>
      <c r="H7" s="22">
        <v>8</v>
      </c>
      <c r="I7" s="22">
        <v>5</v>
      </c>
      <c r="J7" s="22">
        <v>5</v>
      </c>
      <c r="K7" s="22">
        <v>5</v>
      </c>
      <c r="L7" s="22">
        <v>6</v>
      </c>
      <c r="M7" s="22">
        <v>6</v>
      </c>
      <c r="N7" s="22">
        <v>6</v>
      </c>
      <c r="O7" s="22">
        <v>9</v>
      </c>
      <c r="P7" s="22">
        <v>9</v>
      </c>
      <c r="Q7" s="22">
        <v>6</v>
      </c>
      <c r="R7" s="22">
        <v>7</v>
      </c>
      <c r="S7" s="22">
        <v>9</v>
      </c>
      <c r="T7" s="22">
        <v>9</v>
      </c>
      <c r="U7" s="22">
        <v>7</v>
      </c>
      <c r="V7" s="23">
        <v>10</v>
      </c>
      <c r="W7" s="23">
        <v>10</v>
      </c>
      <c r="X7" s="23"/>
      <c r="Y7" s="16">
        <f t="shared" si="0"/>
        <v>6</v>
      </c>
      <c r="Z7" s="18">
        <f t="shared" si="1"/>
        <v>31.578947368421051</v>
      </c>
      <c r="AA7" s="16">
        <f t="shared" si="2"/>
        <v>3</v>
      </c>
      <c r="AB7" s="18">
        <f t="shared" si="3"/>
        <v>15.789473684210526</v>
      </c>
      <c r="AC7" s="16">
        <f t="shared" si="4"/>
        <v>10</v>
      </c>
      <c r="AD7" s="18">
        <f t="shared" si="5"/>
        <v>52.631578947368418</v>
      </c>
      <c r="AE7" s="16">
        <f t="shared" si="6"/>
        <v>0</v>
      </c>
      <c r="AF7" s="18">
        <f t="shared" si="7"/>
        <v>0</v>
      </c>
      <c r="AG7" s="19">
        <f t="shared" si="8"/>
        <v>7.1052631578947372</v>
      </c>
      <c r="AH7" s="20">
        <f t="shared" si="9"/>
        <v>100</v>
      </c>
      <c r="AI7" s="18">
        <f t="shared" si="10"/>
        <v>47.368421052631575</v>
      </c>
      <c r="AJ7" s="21"/>
    </row>
    <row r="8" spans="1:36" ht="12.5" customHeight="1">
      <c r="A8" s="15">
        <v>3</v>
      </c>
      <c r="B8" s="16" t="str">
        <f>IF(Таблица1[[#This Row],[Столбец3]]&lt;&gt;"",B7,"")</f>
        <v>10-Б</v>
      </c>
      <c r="C8" s="17" t="s">
        <v>76</v>
      </c>
      <c r="D8" s="17" t="s">
        <v>73</v>
      </c>
      <c r="E8" s="22">
        <v>10</v>
      </c>
      <c r="F8" s="22">
        <v>10</v>
      </c>
      <c r="G8" s="22">
        <v>10</v>
      </c>
      <c r="H8" s="22">
        <v>10</v>
      </c>
      <c r="I8" s="22">
        <v>10</v>
      </c>
      <c r="J8" s="22">
        <v>10</v>
      </c>
      <c r="K8" s="22">
        <v>10</v>
      </c>
      <c r="L8" s="22">
        <v>10</v>
      </c>
      <c r="M8" s="22">
        <v>10</v>
      </c>
      <c r="N8" s="22">
        <v>10</v>
      </c>
      <c r="O8" s="22">
        <v>10</v>
      </c>
      <c r="P8" s="22">
        <v>10</v>
      </c>
      <c r="Q8" s="22">
        <v>10</v>
      </c>
      <c r="R8" s="22">
        <v>10</v>
      </c>
      <c r="S8" s="22">
        <v>10</v>
      </c>
      <c r="T8" s="22">
        <v>10</v>
      </c>
      <c r="U8" s="22">
        <v>10</v>
      </c>
      <c r="V8" s="23">
        <v>10</v>
      </c>
      <c r="W8" s="23">
        <v>10</v>
      </c>
      <c r="X8" s="23"/>
      <c r="Y8" s="16">
        <f t="shared" si="0"/>
        <v>19</v>
      </c>
      <c r="Z8" s="18">
        <f t="shared" si="1"/>
        <v>100</v>
      </c>
      <c r="AA8" s="16">
        <f t="shared" si="2"/>
        <v>0</v>
      </c>
      <c r="AB8" s="18">
        <f t="shared" si="3"/>
        <v>0</v>
      </c>
      <c r="AC8" s="16">
        <f t="shared" si="4"/>
        <v>0</v>
      </c>
      <c r="AD8" s="18">
        <f t="shared" si="5"/>
        <v>0</v>
      </c>
      <c r="AE8" s="16">
        <f t="shared" si="6"/>
        <v>0</v>
      </c>
      <c r="AF8" s="18">
        <f t="shared" si="7"/>
        <v>0</v>
      </c>
      <c r="AG8" s="19">
        <f t="shared" si="8"/>
        <v>10</v>
      </c>
      <c r="AH8" s="20">
        <f t="shared" si="9"/>
        <v>100</v>
      </c>
      <c r="AI8" s="18">
        <f t="shared" si="10"/>
        <v>100</v>
      </c>
      <c r="AJ8" s="21"/>
    </row>
    <row r="9" spans="1:36" ht="12.5" customHeight="1">
      <c r="A9" s="15">
        <v>4</v>
      </c>
      <c r="B9" s="16" t="str">
        <f>IF(Таблица1[[#This Row],[Столбец3]]&lt;&gt;"",B8,"")</f>
        <v>10-Б</v>
      </c>
      <c r="C9" s="17" t="s">
        <v>77</v>
      </c>
      <c r="D9" s="17" t="s">
        <v>73</v>
      </c>
      <c r="E9" s="22">
        <v>5</v>
      </c>
      <c r="F9" s="22">
        <v>6</v>
      </c>
      <c r="G9" s="22">
        <v>6</v>
      </c>
      <c r="H9" s="22">
        <v>6</v>
      </c>
      <c r="I9" s="22">
        <v>5</v>
      </c>
      <c r="J9" s="22">
        <v>5</v>
      </c>
      <c r="K9" s="22">
        <v>5</v>
      </c>
      <c r="L9" s="22">
        <v>9</v>
      </c>
      <c r="M9" s="22">
        <v>5</v>
      </c>
      <c r="N9" s="22">
        <v>6</v>
      </c>
      <c r="O9" s="22">
        <v>6</v>
      </c>
      <c r="P9" s="22">
        <v>6</v>
      </c>
      <c r="Q9" s="22">
        <v>6</v>
      </c>
      <c r="R9" s="22">
        <v>7</v>
      </c>
      <c r="S9" s="22">
        <v>6</v>
      </c>
      <c r="T9" s="22">
        <v>8</v>
      </c>
      <c r="U9" s="22">
        <v>6</v>
      </c>
      <c r="V9" s="23">
        <v>10</v>
      </c>
      <c r="W9" s="23">
        <v>9</v>
      </c>
      <c r="X9" s="23"/>
      <c r="Y9" s="16">
        <f t="shared" si="0"/>
        <v>3</v>
      </c>
      <c r="Z9" s="18">
        <f t="shared" si="1"/>
        <v>15.789473684210526</v>
      </c>
      <c r="AA9" s="16">
        <f t="shared" si="2"/>
        <v>2</v>
      </c>
      <c r="AB9" s="18">
        <f t="shared" si="3"/>
        <v>10.526315789473683</v>
      </c>
      <c r="AC9" s="16">
        <f t="shared" si="4"/>
        <v>14</v>
      </c>
      <c r="AD9" s="18">
        <f t="shared" si="5"/>
        <v>73.68421052631578</v>
      </c>
      <c r="AE9" s="16">
        <f t="shared" si="6"/>
        <v>0</v>
      </c>
      <c r="AF9" s="18">
        <f t="shared" si="7"/>
        <v>0</v>
      </c>
      <c r="AG9" s="19">
        <f t="shared" si="8"/>
        <v>6.4210526315789478</v>
      </c>
      <c r="AH9" s="20">
        <f t="shared" si="9"/>
        <v>100</v>
      </c>
      <c r="AI9" s="18">
        <f t="shared" si="10"/>
        <v>26.315789473684209</v>
      </c>
      <c r="AJ9" s="21"/>
    </row>
    <row r="10" spans="1:36" ht="12.5" customHeight="1">
      <c r="A10" s="15">
        <v>5</v>
      </c>
      <c r="B10" s="16" t="str">
        <f>IF(Таблица1[[#This Row],[Столбец3]]&lt;&gt;"",B9,"")</f>
        <v>10-Б</v>
      </c>
      <c r="C10" s="17" t="s">
        <v>78</v>
      </c>
      <c r="D10" s="17" t="s">
        <v>73</v>
      </c>
      <c r="E10" s="22">
        <v>6</v>
      </c>
      <c r="F10" s="22">
        <v>6</v>
      </c>
      <c r="G10" s="22">
        <v>6</v>
      </c>
      <c r="H10" s="22">
        <v>6</v>
      </c>
      <c r="I10" s="22">
        <v>8</v>
      </c>
      <c r="J10" s="22">
        <v>6</v>
      </c>
      <c r="K10" s="22">
        <v>6</v>
      </c>
      <c r="L10" s="22">
        <v>7</v>
      </c>
      <c r="M10" s="22">
        <v>7</v>
      </c>
      <c r="N10" s="22">
        <v>8</v>
      </c>
      <c r="O10" s="22">
        <v>9</v>
      </c>
      <c r="P10" s="22">
        <v>8</v>
      </c>
      <c r="Q10" s="22">
        <v>8</v>
      </c>
      <c r="R10" s="22">
        <v>7</v>
      </c>
      <c r="S10" s="22">
        <v>7</v>
      </c>
      <c r="T10" s="22">
        <v>7</v>
      </c>
      <c r="U10" s="22">
        <v>9</v>
      </c>
      <c r="V10" s="23">
        <v>10</v>
      </c>
      <c r="W10" s="23">
        <v>10</v>
      </c>
      <c r="X10" s="23"/>
      <c r="Y10" s="16">
        <f t="shared" si="0"/>
        <v>4</v>
      </c>
      <c r="Z10" s="18">
        <f t="shared" si="1"/>
        <v>21.052631578947366</v>
      </c>
      <c r="AA10" s="16">
        <f t="shared" si="2"/>
        <v>9</v>
      </c>
      <c r="AB10" s="18">
        <f t="shared" si="3"/>
        <v>47.368421052631575</v>
      </c>
      <c r="AC10" s="16">
        <f t="shared" si="4"/>
        <v>6</v>
      </c>
      <c r="AD10" s="18">
        <f t="shared" si="5"/>
        <v>31.578947368421051</v>
      </c>
      <c r="AE10" s="16">
        <f t="shared" si="6"/>
        <v>0</v>
      </c>
      <c r="AF10" s="18">
        <f t="shared" si="7"/>
        <v>0</v>
      </c>
      <c r="AG10" s="19">
        <f t="shared" si="8"/>
        <v>7.4210526315789478</v>
      </c>
      <c r="AH10" s="20">
        <f t="shared" si="9"/>
        <v>100</v>
      </c>
      <c r="AI10" s="18">
        <f t="shared" si="10"/>
        <v>68.421052631578945</v>
      </c>
      <c r="AJ10" s="21"/>
    </row>
    <row r="11" spans="1:36" ht="12.5" customHeight="1">
      <c r="A11" s="15">
        <v>6</v>
      </c>
      <c r="B11" s="16" t="str">
        <f>IF(Таблица1[[#This Row],[Столбец3]]&lt;&gt;"",B10,"")</f>
        <v>10-Б</v>
      </c>
      <c r="C11" s="17" t="s">
        <v>79</v>
      </c>
      <c r="D11" s="17" t="s">
        <v>73</v>
      </c>
      <c r="E11" s="22">
        <v>7</v>
      </c>
      <c r="F11" s="22">
        <v>8</v>
      </c>
      <c r="G11" s="22">
        <v>7</v>
      </c>
      <c r="H11" s="22">
        <v>8</v>
      </c>
      <c r="I11" s="22">
        <v>10</v>
      </c>
      <c r="J11" s="22">
        <v>10</v>
      </c>
      <c r="K11" s="22">
        <v>9</v>
      </c>
      <c r="L11" s="22">
        <v>8</v>
      </c>
      <c r="M11" s="22">
        <v>10</v>
      </c>
      <c r="N11" s="22">
        <v>10</v>
      </c>
      <c r="O11" s="22">
        <v>10</v>
      </c>
      <c r="P11" s="22">
        <v>10</v>
      </c>
      <c r="Q11" s="22">
        <v>7</v>
      </c>
      <c r="R11" s="22">
        <v>8</v>
      </c>
      <c r="S11" s="22">
        <v>9</v>
      </c>
      <c r="T11" s="22">
        <v>9</v>
      </c>
      <c r="U11" s="22">
        <v>10</v>
      </c>
      <c r="V11" s="23">
        <v>10</v>
      </c>
      <c r="W11" s="23">
        <v>10</v>
      </c>
      <c r="X11" s="23"/>
      <c r="Y11" s="16">
        <f t="shared" si="0"/>
        <v>12</v>
      </c>
      <c r="Z11" s="18">
        <f t="shared" si="1"/>
        <v>63.157894736842103</v>
      </c>
      <c r="AA11" s="16">
        <f t="shared" si="2"/>
        <v>7</v>
      </c>
      <c r="AB11" s="18">
        <f t="shared" si="3"/>
        <v>36.84210526315789</v>
      </c>
      <c r="AC11" s="16">
        <f t="shared" si="4"/>
        <v>0</v>
      </c>
      <c r="AD11" s="18">
        <f t="shared" si="5"/>
        <v>0</v>
      </c>
      <c r="AE11" s="16">
        <f t="shared" si="6"/>
        <v>0</v>
      </c>
      <c r="AF11" s="18">
        <f t="shared" si="7"/>
        <v>0</v>
      </c>
      <c r="AG11" s="19">
        <f t="shared" si="8"/>
        <v>8.9473684210526319</v>
      </c>
      <c r="AH11" s="20">
        <f t="shared" si="9"/>
        <v>100</v>
      </c>
      <c r="AI11" s="18">
        <f t="shared" si="10"/>
        <v>100</v>
      </c>
      <c r="AJ11" s="21"/>
    </row>
    <row r="12" spans="1:36" ht="12.5" customHeight="1">
      <c r="A12" s="15">
        <v>7</v>
      </c>
      <c r="B12" s="16" t="str">
        <f>IF(Таблица1[[#This Row],[Столбец3]]&lt;&gt;"",B11,"")</f>
        <v>10-Б</v>
      </c>
      <c r="C12" s="17" t="s">
        <v>80</v>
      </c>
      <c r="D12" s="17" t="s">
        <v>75</v>
      </c>
      <c r="E12" s="22">
        <v>9</v>
      </c>
      <c r="F12" s="22">
        <v>9</v>
      </c>
      <c r="G12" s="22">
        <v>10</v>
      </c>
      <c r="H12" s="22">
        <v>10</v>
      </c>
      <c r="I12" s="22">
        <v>9</v>
      </c>
      <c r="J12" s="22">
        <v>9</v>
      </c>
      <c r="K12" s="22">
        <v>9</v>
      </c>
      <c r="L12" s="22">
        <v>9</v>
      </c>
      <c r="M12" s="22">
        <v>10</v>
      </c>
      <c r="N12" s="22">
        <v>10</v>
      </c>
      <c r="O12" s="22">
        <v>9</v>
      </c>
      <c r="P12" s="22">
        <v>9</v>
      </c>
      <c r="Q12" s="22">
        <v>9</v>
      </c>
      <c r="R12" s="22">
        <v>9</v>
      </c>
      <c r="S12" s="22">
        <v>10</v>
      </c>
      <c r="T12" s="22">
        <v>10</v>
      </c>
      <c r="U12" s="22">
        <v>10</v>
      </c>
      <c r="V12" s="23">
        <v>10</v>
      </c>
      <c r="W12" s="23">
        <v>10</v>
      </c>
      <c r="X12" s="23"/>
      <c r="Y12" s="16">
        <f t="shared" si="0"/>
        <v>19</v>
      </c>
      <c r="Z12" s="18">
        <f t="shared" si="1"/>
        <v>100</v>
      </c>
      <c r="AA12" s="16">
        <f t="shared" si="2"/>
        <v>0</v>
      </c>
      <c r="AB12" s="18">
        <f t="shared" si="3"/>
        <v>0</v>
      </c>
      <c r="AC12" s="16">
        <f t="shared" si="4"/>
        <v>0</v>
      </c>
      <c r="AD12" s="18">
        <f t="shared" si="5"/>
        <v>0</v>
      </c>
      <c r="AE12" s="16">
        <f t="shared" si="6"/>
        <v>0</v>
      </c>
      <c r="AF12" s="18">
        <f t="shared" si="7"/>
        <v>0</v>
      </c>
      <c r="AG12" s="19">
        <f t="shared" si="8"/>
        <v>9.473684210526315</v>
      </c>
      <c r="AH12" s="20">
        <f t="shared" si="9"/>
        <v>100</v>
      </c>
      <c r="AI12" s="18">
        <f t="shared" si="10"/>
        <v>100</v>
      </c>
      <c r="AJ12" s="21"/>
    </row>
    <row r="13" spans="1:36" ht="12.5" customHeight="1">
      <c r="A13" s="15">
        <v>8</v>
      </c>
      <c r="B13" s="16" t="str">
        <f>IF(Таблица1[[#This Row],[Столбец3]]&lt;&gt;"",B12,"")</f>
        <v>10-Б</v>
      </c>
      <c r="C13" s="17" t="s">
        <v>81</v>
      </c>
      <c r="D13" s="17" t="s">
        <v>73</v>
      </c>
      <c r="E13" s="22">
        <v>7</v>
      </c>
      <c r="F13" s="22">
        <v>8</v>
      </c>
      <c r="G13" s="22">
        <v>8</v>
      </c>
      <c r="H13" s="22">
        <v>8</v>
      </c>
      <c r="I13" s="22">
        <v>10</v>
      </c>
      <c r="J13" s="22">
        <v>10</v>
      </c>
      <c r="K13" s="22">
        <v>10</v>
      </c>
      <c r="L13" s="22">
        <v>7</v>
      </c>
      <c r="M13" s="22">
        <v>10</v>
      </c>
      <c r="N13" s="22">
        <v>10</v>
      </c>
      <c r="O13" s="22">
        <v>10</v>
      </c>
      <c r="P13" s="22">
        <v>10</v>
      </c>
      <c r="Q13" s="22">
        <v>8</v>
      </c>
      <c r="R13" s="22">
        <v>8</v>
      </c>
      <c r="S13" s="22">
        <v>9</v>
      </c>
      <c r="T13" s="22">
        <v>9</v>
      </c>
      <c r="U13" s="22">
        <v>10</v>
      </c>
      <c r="V13" s="23">
        <v>10</v>
      </c>
      <c r="W13" s="23">
        <v>10</v>
      </c>
      <c r="X13" s="23"/>
      <c r="Y13" s="16">
        <f t="shared" si="0"/>
        <v>12</v>
      </c>
      <c r="Z13" s="18">
        <f t="shared" si="1"/>
        <v>63.157894736842103</v>
      </c>
      <c r="AA13" s="16">
        <f t="shared" si="2"/>
        <v>7</v>
      </c>
      <c r="AB13" s="18">
        <f t="shared" si="3"/>
        <v>36.84210526315789</v>
      </c>
      <c r="AC13" s="16">
        <f t="shared" si="4"/>
        <v>0</v>
      </c>
      <c r="AD13" s="18">
        <f t="shared" si="5"/>
        <v>0</v>
      </c>
      <c r="AE13" s="16">
        <f t="shared" si="6"/>
        <v>0</v>
      </c>
      <c r="AF13" s="18">
        <f t="shared" si="7"/>
        <v>0</v>
      </c>
      <c r="AG13" s="19">
        <f t="shared" si="8"/>
        <v>9.0526315789473681</v>
      </c>
      <c r="AH13" s="20">
        <f t="shared" si="9"/>
        <v>100</v>
      </c>
      <c r="AI13" s="18">
        <f t="shared" si="10"/>
        <v>100</v>
      </c>
      <c r="AJ13" s="21"/>
    </row>
    <row r="14" spans="1:36" ht="12.5" customHeight="1">
      <c r="A14" s="15">
        <v>9</v>
      </c>
      <c r="B14" s="16" t="str">
        <f>IF(Таблица1[[#This Row],[Столбец3]]&lt;&gt;"",B13,"")</f>
        <v>10-Б</v>
      </c>
      <c r="C14" s="17" t="s">
        <v>82</v>
      </c>
      <c r="D14" s="17" t="s">
        <v>75</v>
      </c>
      <c r="E14" s="22">
        <v>8</v>
      </c>
      <c r="F14" s="22">
        <v>9</v>
      </c>
      <c r="G14" s="22">
        <v>7</v>
      </c>
      <c r="H14" s="22">
        <v>8</v>
      </c>
      <c r="I14" s="22">
        <v>10</v>
      </c>
      <c r="J14" s="22">
        <v>10</v>
      </c>
      <c r="K14" s="22">
        <v>9</v>
      </c>
      <c r="L14" s="22">
        <v>8</v>
      </c>
      <c r="M14" s="22">
        <v>9</v>
      </c>
      <c r="N14" s="22">
        <v>9</v>
      </c>
      <c r="O14" s="22">
        <v>9</v>
      </c>
      <c r="P14" s="22">
        <v>10</v>
      </c>
      <c r="Q14" s="22">
        <v>7</v>
      </c>
      <c r="R14" s="22">
        <v>9</v>
      </c>
      <c r="S14" s="22">
        <v>9</v>
      </c>
      <c r="T14" s="22">
        <v>8</v>
      </c>
      <c r="U14" s="22">
        <v>10</v>
      </c>
      <c r="V14" s="23">
        <v>10</v>
      </c>
      <c r="W14" s="23">
        <v>10</v>
      </c>
      <c r="X14" s="23"/>
      <c r="Y14" s="16">
        <f t="shared" si="0"/>
        <v>13</v>
      </c>
      <c r="Z14" s="18">
        <f t="shared" si="1"/>
        <v>68.421052631578945</v>
      </c>
      <c r="AA14" s="16">
        <f t="shared" si="2"/>
        <v>6</v>
      </c>
      <c r="AB14" s="18">
        <f t="shared" si="3"/>
        <v>31.578947368421051</v>
      </c>
      <c r="AC14" s="16">
        <f t="shared" si="4"/>
        <v>0</v>
      </c>
      <c r="AD14" s="18">
        <f t="shared" si="5"/>
        <v>0</v>
      </c>
      <c r="AE14" s="16">
        <f t="shared" si="6"/>
        <v>0</v>
      </c>
      <c r="AF14" s="18">
        <f t="shared" si="7"/>
        <v>0</v>
      </c>
      <c r="AG14" s="19">
        <f t="shared" si="8"/>
        <v>8.8947368421052637</v>
      </c>
      <c r="AH14" s="20">
        <f t="shared" si="9"/>
        <v>100</v>
      </c>
      <c r="AI14" s="18">
        <f t="shared" si="10"/>
        <v>100</v>
      </c>
      <c r="AJ14" s="21"/>
    </row>
    <row r="15" spans="1:36" ht="12.5" customHeight="1">
      <c r="A15" s="15">
        <v>10</v>
      </c>
      <c r="B15" s="16" t="str">
        <f>IF(Таблица1[[#This Row],[Столбец3]]&lt;&gt;"",B14,"")</f>
        <v>10-Б</v>
      </c>
      <c r="C15" s="17" t="s">
        <v>83</v>
      </c>
      <c r="D15" s="17" t="s">
        <v>73</v>
      </c>
      <c r="E15" s="22">
        <v>7</v>
      </c>
      <c r="F15" s="22">
        <v>7</v>
      </c>
      <c r="G15" s="22">
        <v>6</v>
      </c>
      <c r="H15" s="22">
        <v>8</v>
      </c>
      <c r="I15" s="22">
        <v>9</v>
      </c>
      <c r="J15" s="22">
        <v>9</v>
      </c>
      <c r="K15" s="22">
        <v>9</v>
      </c>
      <c r="L15" s="22">
        <v>6</v>
      </c>
      <c r="M15" s="22">
        <v>9</v>
      </c>
      <c r="N15" s="22">
        <v>9</v>
      </c>
      <c r="O15" s="22">
        <v>9</v>
      </c>
      <c r="P15" s="22">
        <v>10</v>
      </c>
      <c r="Q15" s="22">
        <v>6</v>
      </c>
      <c r="R15" s="22">
        <v>8</v>
      </c>
      <c r="S15" s="22">
        <v>7</v>
      </c>
      <c r="T15" s="22">
        <v>9</v>
      </c>
      <c r="U15" s="22">
        <v>10</v>
      </c>
      <c r="V15" s="23">
        <v>10</v>
      </c>
      <c r="W15" s="23">
        <v>10</v>
      </c>
      <c r="X15" s="23"/>
      <c r="Y15" s="16">
        <f t="shared" si="0"/>
        <v>11</v>
      </c>
      <c r="Z15" s="18">
        <f t="shared" si="1"/>
        <v>57.894736842105267</v>
      </c>
      <c r="AA15" s="16">
        <f t="shared" si="2"/>
        <v>5</v>
      </c>
      <c r="AB15" s="18">
        <f t="shared" si="3"/>
        <v>26.315789473684209</v>
      </c>
      <c r="AC15" s="16">
        <f t="shared" si="4"/>
        <v>3</v>
      </c>
      <c r="AD15" s="18">
        <f t="shared" si="5"/>
        <v>15.789473684210526</v>
      </c>
      <c r="AE15" s="16">
        <f t="shared" si="6"/>
        <v>0</v>
      </c>
      <c r="AF15" s="18">
        <f t="shared" si="7"/>
        <v>0</v>
      </c>
      <c r="AG15" s="19">
        <f t="shared" si="8"/>
        <v>8.3157894736842106</v>
      </c>
      <c r="AH15" s="20">
        <f t="shared" si="9"/>
        <v>100</v>
      </c>
      <c r="AI15" s="18">
        <f t="shared" si="10"/>
        <v>84.21052631578948</v>
      </c>
      <c r="AJ15" s="21"/>
    </row>
    <row r="16" spans="1:36" ht="12.5" customHeight="1">
      <c r="A16" s="15">
        <v>11</v>
      </c>
      <c r="B16" s="16" t="str">
        <f>IF(Таблица1[[#This Row],[Столбец3]]&lt;&gt;"",B15,"")</f>
        <v>10-Б</v>
      </c>
      <c r="C16" s="17" t="s">
        <v>84</v>
      </c>
      <c r="D16" s="17" t="s">
        <v>73</v>
      </c>
      <c r="E16" s="22">
        <v>8</v>
      </c>
      <c r="F16" s="22">
        <v>8</v>
      </c>
      <c r="G16" s="22">
        <v>8</v>
      </c>
      <c r="H16" s="22">
        <v>10</v>
      </c>
      <c r="I16" s="22">
        <v>10</v>
      </c>
      <c r="J16" s="22">
        <v>10</v>
      </c>
      <c r="K16" s="22">
        <v>9</v>
      </c>
      <c r="L16" s="22">
        <v>8</v>
      </c>
      <c r="M16" s="22">
        <v>10</v>
      </c>
      <c r="N16" s="22">
        <v>10</v>
      </c>
      <c r="O16" s="22">
        <v>10</v>
      </c>
      <c r="P16" s="22">
        <v>10</v>
      </c>
      <c r="Q16" s="22">
        <v>8</v>
      </c>
      <c r="R16" s="22">
        <v>8</v>
      </c>
      <c r="S16" s="22">
        <v>8</v>
      </c>
      <c r="T16" s="22">
        <v>9</v>
      </c>
      <c r="U16" s="22">
        <v>10</v>
      </c>
      <c r="V16" s="23">
        <v>10</v>
      </c>
      <c r="W16" s="23">
        <v>10</v>
      </c>
      <c r="X16" s="23"/>
      <c r="Y16" s="16">
        <f t="shared" si="0"/>
        <v>12</v>
      </c>
      <c r="Z16" s="18">
        <f t="shared" si="1"/>
        <v>63.157894736842103</v>
      </c>
      <c r="AA16" s="16">
        <f t="shared" si="2"/>
        <v>7</v>
      </c>
      <c r="AB16" s="18">
        <f t="shared" si="3"/>
        <v>36.84210526315789</v>
      </c>
      <c r="AC16" s="16">
        <f t="shared" si="4"/>
        <v>0</v>
      </c>
      <c r="AD16" s="18">
        <f t="shared" si="5"/>
        <v>0</v>
      </c>
      <c r="AE16" s="16">
        <f t="shared" si="6"/>
        <v>0</v>
      </c>
      <c r="AF16" s="18">
        <f t="shared" si="7"/>
        <v>0</v>
      </c>
      <c r="AG16" s="19">
        <f t="shared" si="8"/>
        <v>9.1578947368421044</v>
      </c>
      <c r="AH16" s="20">
        <f t="shared" si="9"/>
        <v>100</v>
      </c>
      <c r="AI16" s="18">
        <f t="shared" si="10"/>
        <v>100</v>
      </c>
      <c r="AJ16" s="21"/>
    </row>
    <row r="17" spans="1:36" ht="12.5" customHeight="1">
      <c r="A17" s="15">
        <v>12</v>
      </c>
      <c r="B17" s="16" t="str">
        <f>IF(Таблица1[[#This Row],[Столбец3]]&lt;&gt;"",B16,"")</f>
        <v>10-Б</v>
      </c>
      <c r="C17" s="17" t="s">
        <v>85</v>
      </c>
      <c r="D17" s="17" t="s">
        <v>75</v>
      </c>
      <c r="E17" s="22">
        <v>7</v>
      </c>
      <c r="F17" s="22">
        <v>8</v>
      </c>
      <c r="G17" s="22">
        <v>7</v>
      </c>
      <c r="H17" s="22">
        <v>8</v>
      </c>
      <c r="I17" s="22">
        <v>7</v>
      </c>
      <c r="J17" s="22">
        <v>7</v>
      </c>
      <c r="K17" s="22">
        <v>9</v>
      </c>
      <c r="L17" s="22">
        <v>8</v>
      </c>
      <c r="M17" s="22">
        <v>10</v>
      </c>
      <c r="N17" s="22">
        <v>10</v>
      </c>
      <c r="O17" s="22">
        <v>9</v>
      </c>
      <c r="P17" s="22">
        <v>8</v>
      </c>
      <c r="Q17" s="22">
        <v>8</v>
      </c>
      <c r="R17" s="22">
        <v>8</v>
      </c>
      <c r="S17" s="22">
        <v>9</v>
      </c>
      <c r="T17" s="22">
        <v>7</v>
      </c>
      <c r="U17" s="22">
        <v>10</v>
      </c>
      <c r="V17" s="23">
        <v>10</v>
      </c>
      <c r="W17" s="23">
        <v>10</v>
      </c>
      <c r="X17" s="23"/>
      <c r="Y17" s="16">
        <f t="shared" si="0"/>
        <v>8</v>
      </c>
      <c r="Z17" s="18">
        <f t="shared" si="1"/>
        <v>42.105263157894733</v>
      </c>
      <c r="AA17" s="16">
        <f t="shared" si="2"/>
        <v>11</v>
      </c>
      <c r="AB17" s="18">
        <f t="shared" si="3"/>
        <v>57.894736842105267</v>
      </c>
      <c r="AC17" s="16">
        <f t="shared" si="4"/>
        <v>0</v>
      </c>
      <c r="AD17" s="18">
        <f t="shared" si="5"/>
        <v>0</v>
      </c>
      <c r="AE17" s="16">
        <f t="shared" si="6"/>
        <v>0</v>
      </c>
      <c r="AF17" s="18">
        <f t="shared" si="7"/>
        <v>0</v>
      </c>
      <c r="AG17" s="19">
        <f t="shared" si="8"/>
        <v>8.4210526315789469</v>
      </c>
      <c r="AH17" s="20">
        <f t="shared" si="9"/>
        <v>100</v>
      </c>
      <c r="AI17" s="18">
        <f t="shared" si="10"/>
        <v>100</v>
      </c>
      <c r="AJ17" s="21"/>
    </row>
    <row r="18" spans="1:36" ht="12.5" customHeight="1">
      <c r="A18" s="15">
        <v>13</v>
      </c>
      <c r="B18" s="16" t="str">
        <f>IF(Таблица1[[#This Row],[Столбец3]]&lt;&gt;"",B17,"")</f>
        <v>10-Б</v>
      </c>
      <c r="C18" s="17" t="s">
        <v>86</v>
      </c>
      <c r="D18" s="17" t="s">
        <v>75</v>
      </c>
      <c r="E18" s="22">
        <v>6</v>
      </c>
      <c r="F18" s="22">
        <v>6</v>
      </c>
      <c r="G18" s="22">
        <v>5</v>
      </c>
      <c r="H18" s="22">
        <v>6</v>
      </c>
      <c r="I18" s="22">
        <v>5</v>
      </c>
      <c r="J18" s="22">
        <v>5</v>
      </c>
      <c r="K18" s="22">
        <v>5</v>
      </c>
      <c r="L18" s="22">
        <v>6</v>
      </c>
      <c r="M18" s="22">
        <v>6</v>
      </c>
      <c r="N18" s="22">
        <v>6</v>
      </c>
      <c r="O18" s="22">
        <v>6</v>
      </c>
      <c r="P18" s="22">
        <v>6</v>
      </c>
      <c r="Q18" s="22">
        <v>6</v>
      </c>
      <c r="R18" s="22">
        <v>5</v>
      </c>
      <c r="S18" s="22">
        <v>6</v>
      </c>
      <c r="T18" s="22">
        <v>8</v>
      </c>
      <c r="U18" s="22">
        <v>6</v>
      </c>
      <c r="V18" s="23">
        <v>8</v>
      </c>
      <c r="W18" s="23">
        <v>8</v>
      </c>
      <c r="X18" s="23"/>
      <c r="Y18" s="16">
        <f t="shared" si="0"/>
        <v>0</v>
      </c>
      <c r="Z18" s="18">
        <f t="shared" si="1"/>
        <v>0</v>
      </c>
      <c r="AA18" s="16">
        <f t="shared" si="2"/>
        <v>3</v>
      </c>
      <c r="AB18" s="18">
        <f t="shared" si="3"/>
        <v>15.789473684210526</v>
      </c>
      <c r="AC18" s="16">
        <f t="shared" si="4"/>
        <v>16</v>
      </c>
      <c r="AD18" s="18">
        <f t="shared" si="5"/>
        <v>84.210526315789465</v>
      </c>
      <c r="AE18" s="16">
        <f t="shared" si="6"/>
        <v>0</v>
      </c>
      <c r="AF18" s="18">
        <f t="shared" si="7"/>
        <v>0</v>
      </c>
      <c r="AG18" s="19">
        <f t="shared" si="8"/>
        <v>6.0526315789473681</v>
      </c>
      <c r="AH18" s="20">
        <f t="shared" si="9"/>
        <v>100</v>
      </c>
      <c r="AI18" s="18">
        <f t="shared" si="10"/>
        <v>15.789473684210526</v>
      </c>
      <c r="AJ18" s="21"/>
    </row>
    <row r="19" spans="1:36" ht="12.5" customHeight="1">
      <c r="A19" s="15">
        <v>14</v>
      </c>
      <c r="B19" s="16" t="str">
        <f>IF(Таблица1[[#This Row],[Столбец3]]&lt;&gt;"",B18,"")</f>
        <v>10-Б</v>
      </c>
      <c r="C19" s="17" t="s">
        <v>87</v>
      </c>
      <c r="D19" s="17" t="s">
        <v>75</v>
      </c>
      <c r="E19" s="22">
        <v>6</v>
      </c>
      <c r="F19" s="22">
        <v>6</v>
      </c>
      <c r="G19" s="22">
        <v>6</v>
      </c>
      <c r="H19" s="22">
        <v>6</v>
      </c>
      <c r="I19" s="22">
        <v>6</v>
      </c>
      <c r="J19" s="22">
        <v>6</v>
      </c>
      <c r="K19" s="22">
        <v>6</v>
      </c>
      <c r="L19" s="22">
        <v>6</v>
      </c>
      <c r="M19" s="22">
        <v>6</v>
      </c>
      <c r="N19" s="22">
        <v>5</v>
      </c>
      <c r="O19" s="22">
        <v>6</v>
      </c>
      <c r="P19" s="22">
        <v>7</v>
      </c>
      <c r="Q19" s="22">
        <v>6</v>
      </c>
      <c r="R19" s="22">
        <v>7</v>
      </c>
      <c r="S19" s="22">
        <v>8</v>
      </c>
      <c r="T19" s="22">
        <v>7</v>
      </c>
      <c r="U19" s="22">
        <v>6</v>
      </c>
      <c r="V19" s="23">
        <v>9</v>
      </c>
      <c r="W19" s="23">
        <v>8</v>
      </c>
      <c r="X19" s="23"/>
      <c r="Y19" s="16">
        <f t="shared" si="0"/>
        <v>1</v>
      </c>
      <c r="Z19" s="18">
        <f t="shared" si="1"/>
        <v>5.2631578947368416</v>
      </c>
      <c r="AA19" s="16">
        <f t="shared" si="2"/>
        <v>5</v>
      </c>
      <c r="AB19" s="18">
        <f t="shared" si="3"/>
        <v>26.315789473684209</v>
      </c>
      <c r="AC19" s="16">
        <f t="shared" si="4"/>
        <v>13</v>
      </c>
      <c r="AD19" s="18">
        <f t="shared" si="5"/>
        <v>68.421052631578945</v>
      </c>
      <c r="AE19" s="16">
        <f t="shared" si="6"/>
        <v>0</v>
      </c>
      <c r="AF19" s="18">
        <f t="shared" si="7"/>
        <v>0</v>
      </c>
      <c r="AG19" s="19">
        <f t="shared" si="8"/>
        <v>6.4736842105263159</v>
      </c>
      <c r="AH19" s="20">
        <f t="shared" si="9"/>
        <v>100</v>
      </c>
      <c r="AI19" s="18">
        <f t="shared" si="10"/>
        <v>31.578947368421051</v>
      </c>
      <c r="AJ19" s="21"/>
    </row>
    <row r="20" spans="1:36" ht="12.5" customHeight="1">
      <c r="A20" s="15">
        <v>15</v>
      </c>
      <c r="B20" s="16" t="str">
        <f>IF(Таблица1[[#This Row],[Столбец3]]&lt;&gt;"",B19,"")</f>
        <v>10-Б</v>
      </c>
      <c r="C20" s="17" t="s">
        <v>88</v>
      </c>
      <c r="D20" s="17" t="s">
        <v>73</v>
      </c>
      <c r="E20" s="22">
        <v>10</v>
      </c>
      <c r="F20" s="22">
        <v>10</v>
      </c>
      <c r="G20" s="22">
        <v>10</v>
      </c>
      <c r="H20" s="22">
        <v>10</v>
      </c>
      <c r="I20" s="22">
        <v>10</v>
      </c>
      <c r="J20" s="22">
        <v>10</v>
      </c>
      <c r="K20" s="22">
        <v>10</v>
      </c>
      <c r="L20" s="22">
        <v>10</v>
      </c>
      <c r="M20" s="22">
        <v>10</v>
      </c>
      <c r="N20" s="22">
        <v>10</v>
      </c>
      <c r="O20" s="22">
        <v>10</v>
      </c>
      <c r="P20" s="22">
        <v>10</v>
      </c>
      <c r="Q20" s="22">
        <v>10</v>
      </c>
      <c r="R20" s="22">
        <v>10</v>
      </c>
      <c r="S20" s="22">
        <v>10</v>
      </c>
      <c r="T20" s="22">
        <v>10</v>
      </c>
      <c r="U20" s="22">
        <v>10</v>
      </c>
      <c r="V20" s="23">
        <v>10</v>
      </c>
      <c r="W20" s="23">
        <v>10</v>
      </c>
      <c r="X20" s="23"/>
      <c r="Y20" s="16">
        <f t="shared" si="0"/>
        <v>19</v>
      </c>
      <c r="Z20" s="18">
        <f t="shared" si="1"/>
        <v>100</v>
      </c>
      <c r="AA20" s="16">
        <f t="shared" si="2"/>
        <v>0</v>
      </c>
      <c r="AB20" s="18">
        <f t="shared" si="3"/>
        <v>0</v>
      </c>
      <c r="AC20" s="16">
        <f t="shared" si="4"/>
        <v>0</v>
      </c>
      <c r="AD20" s="18">
        <f t="shared" si="5"/>
        <v>0</v>
      </c>
      <c r="AE20" s="16">
        <f t="shared" si="6"/>
        <v>0</v>
      </c>
      <c r="AF20" s="18">
        <f t="shared" si="7"/>
        <v>0</v>
      </c>
      <c r="AG20" s="19">
        <f t="shared" si="8"/>
        <v>10</v>
      </c>
      <c r="AH20" s="20">
        <f t="shared" si="9"/>
        <v>100</v>
      </c>
      <c r="AI20" s="18">
        <f t="shared" si="10"/>
        <v>100</v>
      </c>
      <c r="AJ20" s="21"/>
    </row>
    <row r="21" spans="1:36" ht="12.5" customHeight="1">
      <c r="A21" s="15">
        <v>16</v>
      </c>
      <c r="B21" s="16" t="str">
        <f>IF(Таблица1[[#This Row],[Столбец3]]&lt;&gt;"",B20,"")</f>
        <v>10-Б</v>
      </c>
      <c r="C21" s="17" t="s">
        <v>89</v>
      </c>
      <c r="D21" s="17" t="s">
        <v>75</v>
      </c>
      <c r="E21" s="22">
        <v>5</v>
      </c>
      <c r="F21" s="22">
        <v>6</v>
      </c>
      <c r="G21" s="22">
        <v>6</v>
      </c>
      <c r="H21" s="22">
        <v>6</v>
      </c>
      <c r="I21" s="22">
        <v>5</v>
      </c>
      <c r="J21" s="22">
        <v>5</v>
      </c>
      <c r="K21" s="22">
        <v>5</v>
      </c>
      <c r="L21" s="22">
        <v>6</v>
      </c>
      <c r="M21" s="22">
        <v>6</v>
      </c>
      <c r="N21" s="22">
        <v>6</v>
      </c>
      <c r="O21" s="22">
        <v>6</v>
      </c>
      <c r="P21" s="22">
        <v>6</v>
      </c>
      <c r="Q21" s="22">
        <v>6</v>
      </c>
      <c r="R21" s="22">
        <v>6</v>
      </c>
      <c r="S21" s="22">
        <v>6</v>
      </c>
      <c r="T21" s="22">
        <v>7</v>
      </c>
      <c r="U21" s="22">
        <v>6</v>
      </c>
      <c r="V21" s="23">
        <v>9</v>
      </c>
      <c r="W21" s="23">
        <v>8</v>
      </c>
      <c r="X21" s="23"/>
      <c r="Y21" s="16">
        <f t="shared" si="0"/>
        <v>1</v>
      </c>
      <c r="Z21" s="18">
        <f t="shared" si="1"/>
        <v>5.2631578947368416</v>
      </c>
      <c r="AA21" s="16">
        <f t="shared" si="2"/>
        <v>2</v>
      </c>
      <c r="AB21" s="18">
        <f t="shared" si="3"/>
        <v>10.526315789473683</v>
      </c>
      <c r="AC21" s="16">
        <f t="shared" si="4"/>
        <v>16</v>
      </c>
      <c r="AD21" s="18">
        <f t="shared" si="5"/>
        <v>84.210526315789465</v>
      </c>
      <c r="AE21" s="16">
        <f t="shared" si="6"/>
        <v>0</v>
      </c>
      <c r="AF21" s="18">
        <f t="shared" si="7"/>
        <v>0</v>
      </c>
      <c r="AG21" s="19">
        <f t="shared" si="8"/>
        <v>6.1052631578947372</v>
      </c>
      <c r="AH21" s="20">
        <f t="shared" si="9"/>
        <v>100</v>
      </c>
      <c r="AI21" s="18">
        <f t="shared" si="10"/>
        <v>15.789473684210524</v>
      </c>
      <c r="AJ21" s="21"/>
    </row>
    <row r="22" spans="1:36" ht="12.5" customHeight="1">
      <c r="A22" s="15">
        <v>17</v>
      </c>
      <c r="B22" s="16" t="str">
        <f>IF(Таблица1[[#This Row],[Столбец3]]&lt;&gt;"",B21,"")</f>
        <v/>
      </c>
      <c r="C22" s="24"/>
      <c r="D22" s="24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6"/>
      <c r="W22" s="26"/>
      <c r="X22" s="26"/>
      <c r="Y22" s="16" t="str">
        <f t="shared" si="0"/>
        <v/>
      </c>
      <c r="Z22" s="18" t="str">
        <f t="shared" si="1"/>
        <v/>
      </c>
      <c r="AA22" s="16" t="str">
        <f t="shared" si="2"/>
        <v/>
      </c>
      <c r="AB22" s="18" t="str">
        <f t="shared" si="3"/>
        <v/>
      </c>
      <c r="AC22" s="16" t="str">
        <f t="shared" si="4"/>
        <v/>
      </c>
      <c r="AD22" s="18" t="str">
        <f t="shared" si="5"/>
        <v/>
      </c>
      <c r="AE22" s="16" t="str">
        <f t="shared" si="6"/>
        <v/>
      </c>
      <c r="AF22" s="18" t="str">
        <f t="shared" si="7"/>
        <v/>
      </c>
      <c r="AG22" s="19" t="str">
        <f t="shared" si="8"/>
        <v/>
      </c>
      <c r="AH22" s="20" t="str">
        <f t="shared" si="9"/>
        <v/>
      </c>
      <c r="AI22" s="18" t="str">
        <f t="shared" si="10"/>
        <v/>
      </c>
      <c r="AJ22" s="27"/>
    </row>
    <row r="23" spans="1:36" ht="12.5" customHeight="1">
      <c r="A23" s="15">
        <v>18</v>
      </c>
      <c r="B23" s="16" t="str">
        <f>IF(Таблица1[[#This Row],[Столбец3]]&lt;&gt;"",B22,"")</f>
        <v/>
      </c>
      <c r="C23" s="24"/>
      <c r="D23" s="24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6"/>
      <c r="W23" s="26"/>
      <c r="X23" s="26"/>
      <c r="Y23" s="16" t="str">
        <f t="shared" si="0"/>
        <v/>
      </c>
      <c r="Z23" s="18" t="str">
        <f t="shared" si="1"/>
        <v/>
      </c>
      <c r="AA23" s="16" t="str">
        <f t="shared" si="2"/>
        <v/>
      </c>
      <c r="AB23" s="18" t="str">
        <f t="shared" si="3"/>
        <v/>
      </c>
      <c r="AC23" s="16" t="str">
        <f t="shared" si="4"/>
        <v/>
      </c>
      <c r="AD23" s="18" t="str">
        <f t="shared" si="5"/>
        <v/>
      </c>
      <c r="AE23" s="16" t="str">
        <f t="shared" si="6"/>
        <v/>
      </c>
      <c r="AF23" s="18" t="str">
        <f t="shared" si="7"/>
        <v/>
      </c>
      <c r="AG23" s="19" t="str">
        <f t="shared" si="8"/>
        <v/>
      </c>
      <c r="AH23" s="20" t="str">
        <f t="shared" si="9"/>
        <v/>
      </c>
      <c r="AI23" s="18" t="str">
        <f t="shared" si="10"/>
        <v/>
      </c>
      <c r="AJ23" s="27"/>
    </row>
    <row r="24" spans="1:36" ht="12.5" customHeight="1">
      <c r="A24" s="15">
        <v>19</v>
      </c>
      <c r="B24" s="16" t="str">
        <f>IF(Таблица1[[#This Row],[Столбец3]]&lt;&gt;"",B23,"")</f>
        <v/>
      </c>
      <c r="C24" s="24"/>
      <c r="D24" s="24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6"/>
      <c r="W24" s="26"/>
      <c r="X24" s="26"/>
      <c r="Y24" s="16" t="str">
        <f t="shared" si="0"/>
        <v/>
      </c>
      <c r="Z24" s="18" t="str">
        <f t="shared" si="1"/>
        <v/>
      </c>
      <c r="AA24" s="16" t="str">
        <f t="shared" si="2"/>
        <v/>
      </c>
      <c r="AB24" s="18" t="str">
        <f t="shared" si="3"/>
        <v/>
      </c>
      <c r="AC24" s="16" t="str">
        <f t="shared" si="4"/>
        <v/>
      </c>
      <c r="AD24" s="18" t="str">
        <f t="shared" si="5"/>
        <v/>
      </c>
      <c r="AE24" s="16" t="str">
        <f t="shared" si="6"/>
        <v/>
      </c>
      <c r="AF24" s="18" t="str">
        <f t="shared" si="7"/>
        <v/>
      </c>
      <c r="AG24" s="19" t="str">
        <f t="shared" si="8"/>
        <v/>
      </c>
      <c r="AH24" s="20" t="str">
        <f t="shared" si="9"/>
        <v/>
      </c>
      <c r="AI24" s="18" t="str">
        <f t="shared" si="10"/>
        <v/>
      </c>
      <c r="AJ24" s="27"/>
    </row>
    <row r="25" spans="1:36" ht="12.5" customHeight="1">
      <c r="A25" s="15">
        <v>20</v>
      </c>
      <c r="B25" s="16" t="str">
        <f>IF(Таблица1[[#This Row],[Столбец3]]&lt;&gt;"",B24,"")</f>
        <v/>
      </c>
      <c r="C25" s="24"/>
      <c r="D25" s="24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6"/>
      <c r="W25" s="26"/>
      <c r="X25" s="26"/>
      <c r="Y25" s="16" t="str">
        <f t="shared" si="0"/>
        <v/>
      </c>
      <c r="Z25" s="18" t="str">
        <f t="shared" si="1"/>
        <v/>
      </c>
      <c r="AA25" s="16" t="str">
        <f t="shared" si="2"/>
        <v/>
      </c>
      <c r="AB25" s="18" t="str">
        <f t="shared" si="3"/>
        <v/>
      </c>
      <c r="AC25" s="16" t="str">
        <f t="shared" si="4"/>
        <v/>
      </c>
      <c r="AD25" s="18" t="str">
        <f t="shared" si="5"/>
        <v/>
      </c>
      <c r="AE25" s="16" t="str">
        <f t="shared" si="6"/>
        <v/>
      </c>
      <c r="AF25" s="18" t="str">
        <f t="shared" si="7"/>
        <v/>
      </c>
      <c r="AG25" s="19" t="str">
        <f t="shared" si="8"/>
        <v/>
      </c>
      <c r="AH25" s="20" t="str">
        <f t="shared" si="9"/>
        <v/>
      </c>
      <c r="AI25" s="18" t="str">
        <f t="shared" si="10"/>
        <v/>
      </c>
      <c r="AJ25" s="27"/>
    </row>
    <row r="26" spans="1:36" ht="12.5" customHeight="1">
      <c r="A26" s="15">
        <v>21</v>
      </c>
      <c r="B26" s="16" t="str">
        <f>IF(Таблица1[[#This Row],[Столбец3]]&lt;&gt;"",B25,"")</f>
        <v/>
      </c>
      <c r="C26" s="24"/>
      <c r="D26" s="24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6"/>
      <c r="W26" s="26"/>
      <c r="X26" s="26"/>
      <c r="Y26" s="16" t="str">
        <f t="shared" si="0"/>
        <v/>
      </c>
      <c r="Z26" s="18" t="str">
        <f t="shared" si="1"/>
        <v/>
      </c>
      <c r="AA26" s="16" t="str">
        <f t="shared" si="2"/>
        <v/>
      </c>
      <c r="AB26" s="18" t="str">
        <f t="shared" si="3"/>
        <v/>
      </c>
      <c r="AC26" s="16" t="str">
        <f t="shared" si="4"/>
        <v/>
      </c>
      <c r="AD26" s="18" t="str">
        <f t="shared" si="5"/>
        <v/>
      </c>
      <c r="AE26" s="16" t="str">
        <f t="shared" si="6"/>
        <v/>
      </c>
      <c r="AF26" s="18" t="str">
        <f t="shared" si="7"/>
        <v/>
      </c>
      <c r="AG26" s="19" t="str">
        <f t="shared" si="8"/>
        <v/>
      </c>
      <c r="AH26" s="20" t="str">
        <f t="shared" si="9"/>
        <v/>
      </c>
      <c r="AI26" s="18" t="str">
        <f t="shared" si="10"/>
        <v/>
      </c>
      <c r="AJ26" s="27"/>
    </row>
    <row r="27" spans="1:36" ht="12.5" customHeight="1">
      <c r="A27" s="15">
        <v>22</v>
      </c>
      <c r="B27" s="16" t="str">
        <f>IF(Таблица1[[#This Row],[Столбец3]]&lt;&gt;"",B26,"")</f>
        <v/>
      </c>
      <c r="C27" s="24"/>
      <c r="D27" s="24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6"/>
      <c r="W27" s="26"/>
      <c r="X27" s="26"/>
      <c r="Y27" s="16" t="str">
        <f t="shared" si="0"/>
        <v/>
      </c>
      <c r="Z27" s="18" t="str">
        <f t="shared" si="1"/>
        <v/>
      </c>
      <c r="AA27" s="16" t="str">
        <f t="shared" si="2"/>
        <v/>
      </c>
      <c r="AB27" s="18" t="str">
        <f t="shared" si="3"/>
        <v/>
      </c>
      <c r="AC27" s="16" t="str">
        <f t="shared" si="4"/>
        <v/>
      </c>
      <c r="AD27" s="18" t="str">
        <f t="shared" si="5"/>
        <v/>
      </c>
      <c r="AE27" s="16" t="str">
        <f t="shared" si="6"/>
        <v/>
      </c>
      <c r="AF27" s="18" t="str">
        <f t="shared" si="7"/>
        <v/>
      </c>
      <c r="AG27" s="19" t="str">
        <f t="shared" si="8"/>
        <v/>
      </c>
      <c r="AH27" s="20" t="str">
        <f t="shared" si="9"/>
        <v/>
      </c>
      <c r="AI27" s="18" t="str">
        <f t="shared" si="10"/>
        <v/>
      </c>
      <c r="AJ27" s="27"/>
    </row>
    <row r="28" spans="1:36" ht="12.5" customHeight="1">
      <c r="A28" s="15">
        <v>23</v>
      </c>
      <c r="B28" s="16" t="str">
        <f>IF(Таблица1[[#This Row],[Столбец3]]&lt;&gt;"",B27,"")</f>
        <v/>
      </c>
      <c r="C28" s="24"/>
      <c r="D28" s="24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6"/>
      <c r="W28" s="26"/>
      <c r="X28" s="26"/>
      <c r="Y28" s="16" t="str">
        <f t="shared" si="0"/>
        <v/>
      </c>
      <c r="Z28" s="18" t="str">
        <f t="shared" si="1"/>
        <v/>
      </c>
      <c r="AA28" s="16" t="str">
        <f t="shared" si="2"/>
        <v/>
      </c>
      <c r="AB28" s="18" t="str">
        <f t="shared" si="3"/>
        <v/>
      </c>
      <c r="AC28" s="16" t="str">
        <f t="shared" si="4"/>
        <v/>
      </c>
      <c r="AD28" s="18" t="str">
        <f t="shared" si="5"/>
        <v/>
      </c>
      <c r="AE28" s="16" t="str">
        <f t="shared" si="6"/>
        <v/>
      </c>
      <c r="AF28" s="18" t="str">
        <f t="shared" si="7"/>
        <v/>
      </c>
      <c r="AG28" s="19" t="str">
        <f t="shared" si="8"/>
        <v/>
      </c>
      <c r="AH28" s="20" t="str">
        <f t="shared" si="9"/>
        <v/>
      </c>
      <c r="AI28" s="18" t="str">
        <f t="shared" si="10"/>
        <v/>
      </c>
      <c r="AJ28" s="27"/>
    </row>
    <row r="29" spans="1:36" ht="12.5" customHeight="1">
      <c r="A29" s="15">
        <v>24</v>
      </c>
      <c r="B29" s="16" t="str">
        <f>IF(Таблица1[[#This Row],[Столбец3]]&lt;&gt;"",B28,"")</f>
        <v/>
      </c>
      <c r="C29" s="24"/>
      <c r="D29" s="24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6"/>
      <c r="W29" s="26"/>
      <c r="X29" s="26"/>
      <c r="Y29" s="16" t="str">
        <f t="shared" si="0"/>
        <v/>
      </c>
      <c r="Z29" s="18" t="str">
        <f t="shared" si="1"/>
        <v/>
      </c>
      <c r="AA29" s="16" t="str">
        <f t="shared" si="2"/>
        <v/>
      </c>
      <c r="AB29" s="18" t="str">
        <f t="shared" si="3"/>
        <v/>
      </c>
      <c r="AC29" s="16" t="str">
        <f t="shared" si="4"/>
        <v/>
      </c>
      <c r="AD29" s="18" t="str">
        <f t="shared" si="5"/>
        <v/>
      </c>
      <c r="AE29" s="16" t="str">
        <f t="shared" si="6"/>
        <v/>
      </c>
      <c r="AF29" s="18" t="str">
        <f t="shared" si="7"/>
        <v/>
      </c>
      <c r="AG29" s="19" t="str">
        <f t="shared" si="8"/>
        <v/>
      </c>
      <c r="AH29" s="20" t="str">
        <f t="shared" si="9"/>
        <v/>
      </c>
      <c r="AI29" s="18" t="str">
        <f t="shared" si="10"/>
        <v/>
      </c>
      <c r="AJ29" s="27"/>
    </row>
    <row r="30" spans="1:36" ht="12.5" customHeight="1">
      <c r="A30" s="15">
        <v>25</v>
      </c>
      <c r="B30" s="16" t="str">
        <f>IF(Таблица1[[#This Row],[Столбец3]]&lt;&gt;"",B29,"")</f>
        <v/>
      </c>
      <c r="C30" s="24"/>
      <c r="D30" s="24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6"/>
      <c r="W30" s="26"/>
      <c r="X30" s="26"/>
      <c r="Y30" s="16" t="str">
        <f t="shared" si="0"/>
        <v/>
      </c>
      <c r="Z30" s="18" t="str">
        <f t="shared" si="1"/>
        <v/>
      </c>
      <c r="AA30" s="16" t="str">
        <f t="shared" si="2"/>
        <v/>
      </c>
      <c r="AB30" s="18" t="str">
        <f t="shared" si="3"/>
        <v/>
      </c>
      <c r="AC30" s="16" t="str">
        <f t="shared" si="4"/>
        <v/>
      </c>
      <c r="AD30" s="18" t="str">
        <f t="shared" si="5"/>
        <v/>
      </c>
      <c r="AE30" s="16" t="str">
        <f t="shared" si="6"/>
        <v/>
      </c>
      <c r="AF30" s="18" t="str">
        <f t="shared" si="7"/>
        <v/>
      </c>
      <c r="AG30" s="19" t="str">
        <f t="shared" si="8"/>
        <v/>
      </c>
      <c r="AH30" s="20" t="str">
        <f t="shared" si="9"/>
        <v/>
      </c>
      <c r="AI30" s="18" t="str">
        <f t="shared" si="10"/>
        <v/>
      </c>
      <c r="AJ30" s="27"/>
    </row>
    <row r="31" spans="1:36" ht="12.5" customHeight="1">
      <c r="A31" s="15">
        <v>26</v>
      </c>
      <c r="B31" s="16" t="str">
        <f>IF(Таблица1[[#This Row],[Столбец3]]&lt;&gt;"",B30,"")</f>
        <v/>
      </c>
      <c r="C31" s="24"/>
      <c r="D31" s="24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6"/>
      <c r="W31" s="26"/>
      <c r="X31" s="26"/>
      <c r="Y31" s="16" t="str">
        <f t="shared" si="0"/>
        <v/>
      </c>
      <c r="Z31" s="18" t="str">
        <f t="shared" si="1"/>
        <v/>
      </c>
      <c r="AA31" s="16" t="str">
        <f t="shared" si="2"/>
        <v/>
      </c>
      <c r="AB31" s="18" t="str">
        <f t="shared" si="3"/>
        <v/>
      </c>
      <c r="AC31" s="16" t="str">
        <f t="shared" si="4"/>
        <v/>
      </c>
      <c r="AD31" s="18" t="str">
        <f t="shared" si="5"/>
        <v/>
      </c>
      <c r="AE31" s="16" t="str">
        <f t="shared" si="6"/>
        <v/>
      </c>
      <c r="AF31" s="18" t="str">
        <f t="shared" si="7"/>
        <v/>
      </c>
      <c r="AG31" s="19" t="str">
        <f t="shared" si="8"/>
        <v/>
      </c>
      <c r="AH31" s="20" t="str">
        <f t="shared" si="9"/>
        <v/>
      </c>
      <c r="AI31" s="18" t="str">
        <f t="shared" si="10"/>
        <v/>
      </c>
      <c r="AJ31" s="27"/>
    </row>
    <row r="32" spans="1:36" ht="12.5" customHeight="1">
      <c r="A32" s="15">
        <v>27</v>
      </c>
      <c r="B32" s="16" t="str">
        <f>IF(Таблица1[[#This Row],[Столбец3]]&lt;&gt;"",B31,"")</f>
        <v/>
      </c>
      <c r="C32" s="24"/>
      <c r="D32" s="24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6"/>
      <c r="W32" s="26"/>
      <c r="X32" s="26"/>
      <c r="Y32" s="16" t="str">
        <f t="shared" si="0"/>
        <v/>
      </c>
      <c r="Z32" s="18" t="str">
        <f t="shared" si="1"/>
        <v/>
      </c>
      <c r="AA32" s="16" t="str">
        <f t="shared" si="2"/>
        <v/>
      </c>
      <c r="AB32" s="18" t="str">
        <f t="shared" si="3"/>
        <v/>
      </c>
      <c r="AC32" s="16" t="str">
        <f t="shared" si="4"/>
        <v/>
      </c>
      <c r="AD32" s="18" t="str">
        <f t="shared" si="5"/>
        <v/>
      </c>
      <c r="AE32" s="16" t="str">
        <f t="shared" si="6"/>
        <v/>
      </c>
      <c r="AF32" s="18" t="str">
        <f t="shared" si="7"/>
        <v/>
      </c>
      <c r="AG32" s="19" t="str">
        <f t="shared" si="8"/>
        <v/>
      </c>
      <c r="AH32" s="20" t="str">
        <f t="shared" si="9"/>
        <v/>
      </c>
      <c r="AI32" s="18" t="str">
        <f t="shared" si="10"/>
        <v/>
      </c>
      <c r="AJ32" s="27"/>
    </row>
    <row r="33" spans="1:36" ht="12.5" customHeight="1">
      <c r="A33" s="15">
        <v>28</v>
      </c>
      <c r="B33" s="16" t="str">
        <f>IF(Таблица1[[#This Row],[Столбец3]]&lt;&gt;"",B32,"")</f>
        <v/>
      </c>
      <c r="C33" s="24"/>
      <c r="D33" s="24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6"/>
      <c r="W33" s="26"/>
      <c r="X33" s="26"/>
      <c r="Y33" s="16" t="str">
        <f t="shared" si="0"/>
        <v/>
      </c>
      <c r="Z33" s="18" t="str">
        <f t="shared" si="1"/>
        <v/>
      </c>
      <c r="AA33" s="16" t="str">
        <f t="shared" si="2"/>
        <v/>
      </c>
      <c r="AB33" s="18" t="str">
        <f t="shared" si="3"/>
        <v/>
      </c>
      <c r="AC33" s="16" t="str">
        <f t="shared" si="4"/>
        <v/>
      </c>
      <c r="AD33" s="18" t="str">
        <f t="shared" si="5"/>
        <v/>
      </c>
      <c r="AE33" s="16" t="str">
        <f t="shared" si="6"/>
        <v/>
      </c>
      <c r="AF33" s="18" t="str">
        <f t="shared" si="7"/>
        <v/>
      </c>
      <c r="AG33" s="19" t="str">
        <f t="shared" si="8"/>
        <v/>
      </c>
      <c r="AH33" s="20" t="str">
        <f t="shared" si="9"/>
        <v/>
      </c>
      <c r="AI33" s="18" t="str">
        <f t="shared" si="10"/>
        <v/>
      </c>
      <c r="AJ33" s="27"/>
    </row>
    <row r="34" spans="1:36" ht="12.5" customHeight="1">
      <c r="A34" s="15">
        <v>29</v>
      </c>
      <c r="B34" s="16" t="str">
        <f>IF(Таблица1[[#This Row],[Столбец3]]&lt;&gt;"",B33,"")</f>
        <v/>
      </c>
      <c r="C34" s="24"/>
      <c r="D34" s="24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6"/>
      <c r="W34" s="26"/>
      <c r="X34" s="26"/>
      <c r="Y34" s="16" t="str">
        <f t="shared" si="0"/>
        <v/>
      </c>
      <c r="Z34" s="18" t="str">
        <f t="shared" si="1"/>
        <v/>
      </c>
      <c r="AA34" s="16" t="str">
        <f t="shared" si="2"/>
        <v/>
      </c>
      <c r="AB34" s="18" t="str">
        <f t="shared" si="3"/>
        <v/>
      </c>
      <c r="AC34" s="16" t="str">
        <f t="shared" si="4"/>
        <v/>
      </c>
      <c r="AD34" s="18" t="str">
        <f t="shared" si="5"/>
        <v/>
      </c>
      <c r="AE34" s="16" t="str">
        <f t="shared" si="6"/>
        <v/>
      </c>
      <c r="AF34" s="18" t="str">
        <f t="shared" si="7"/>
        <v/>
      </c>
      <c r="AG34" s="19" t="str">
        <f t="shared" si="8"/>
        <v/>
      </c>
      <c r="AH34" s="20" t="str">
        <f t="shared" si="9"/>
        <v/>
      </c>
      <c r="AI34" s="18" t="str">
        <f t="shared" si="10"/>
        <v/>
      </c>
      <c r="AJ34" s="27"/>
    </row>
    <row r="35" spans="1:36" ht="12.5" customHeight="1">
      <c r="A35" s="15">
        <v>30</v>
      </c>
      <c r="B35" s="16" t="str">
        <f>IF(Таблица1[[#This Row],[Столбец3]]&lt;&gt;"",B34,"")</f>
        <v/>
      </c>
      <c r="C35" s="24"/>
      <c r="D35" s="24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6"/>
      <c r="W35" s="26"/>
      <c r="X35" s="26"/>
      <c r="Y35" s="16" t="str">
        <f t="shared" si="0"/>
        <v/>
      </c>
      <c r="Z35" s="18" t="str">
        <f t="shared" si="1"/>
        <v/>
      </c>
      <c r="AA35" s="16" t="str">
        <f t="shared" si="2"/>
        <v/>
      </c>
      <c r="AB35" s="18" t="str">
        <f t="shared" si="3"/>
        <v/>
      </c>
      <c r="AC35" s="16" t="str">
        <f t="shared" si="4"/>
        <v/>
      </c>
      <c r="AD35" s="18" t="str">
        <f t="shared" si="5"/>
        <v/>
      </c>
      <c r="AE35" s="16" t="str">
        <f t="shared" si="6"/>
        <v/>
      </c>
      <c r="AF35" s="18" t="str">
        <f t="shared" si="7"/>
        <v/>
      </c>
      <c r="AG35" s="19" t="str">
        <f t="shared" si="8"/>
        <v/>
      </c>
      <c r="AH35" s="20" t="str">
        <f t="shared" si="9"/>
        <v/>
      </c>
      <c r="AI35" s="18" t="str">
        <f t="shared" si="10"/>
        <v/>
      </c>
      <c r="AJ35" s="27"/>
    </row>
    <row r="36" spans="1:36" ht="12.5" customHeight="1">
      <c r="A36" s="15">
        <v>31</v>
      </c>
      <c r="B36" s="16" t="str">
        <f>IF(Таблица1[[#This Row],[Столбец3]]&lt;&gt;"",B35,"")</f>
        <v/>
      </c>
      <c r="C36" s="24"/>
      <c r="D36" s="24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6"/>
      <c r="W36" s="26"/>
      <c r="X36" s="26"/>
      <c r="Y36" s="16" t="str">
        <f t="shared" si="0"/>
        <v/>
      </c>
      <c r="Z36" s="18" t="str">
        <f t="shared" si="1"/>
        <v/>
      </c>
      <c r="AA36" s="16" t="str">
        <f t="shared" si="2"/>
        <v/>
      </c>
      <c r="AB36" s="18" t="str">
        <f t="shared" si="3"/>
        <v/>
      </c>
      <c r="AC36" s="16" t="str">
        <f t="shared" si="4"/>
        <v/>
      </c>
      <c r="AD36" s="18" t="str">
        <f t="shared" si="5"/>
        <v/>
      </c>
      <c r="AE36" s="16" t="str">
        <f t="shared" si="6"/>
        <v/>
      </c>
      <c r="AF36" s="18" t="str">
        <f t="shared" si="7"/>
        <v/>
      </c>
      <c r="AG36" s="19" t="str">
        <f t="shared" si="8"/>
        <v/>
      </c>
      <c r="AH36" s="20" t="str">
        <f t="shared" si="9"/>
        <v/>
      </c>
      <c r="AI36" s="18" t="str">
        <f t="shared" si="10"/>
        <v/>
      </c>
      <c r="AJ36" s="27"/>
    </row>
    <row r="37" spans="1:36" ht="12.5" customHeight="1">
      <c r="A37" s="15">
        <v>32</v>
      </c>
      <c r="B37" s="16" t="str">
        <f>IF(Таблица1[[#This Row],[Столбец3]]&lt;&gt;"",B36,"")</f>
        <v/>
      </c>
      <c r="C37" s="24"/>
      <c r="D37" s="24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6"/>
      <c r="W37" s="26"/>
      <c r="X37" s="26"/>
      <c r="Y37" s="16" t="str">
        <f t="shared" si="0"/>
        <v/>
      </c>
      <c r="Z37" s="18" t="str">
        <f t="shared" si="1"/>
        <v/>
      </c>
      <c r="AA37" s="16" t="str">
        <f t="shared" si="2"/>
        <v/>
      </c>
      <c r="AB37" s="18" t="str">
        <f t="shared" si="3"/>
        <v/>
      </c>
      <c r="AC37" s="16" t="str">
        <f t="shared" si="4"/>
        <v/>
      </c>
      <c r="AD37" s="18" t="str">
        <f t="shared" si="5"/>
        <v/>
      </c>
      <c r="AE37" s="16" t="str">
        <f t="shared" si="6"/>
        <v/>
      </c>
      <c r="AF37" s="18" t="str">
        <f t="shared" si="7"/>
        <v/>
      </c>
      <c r="AG37" s="19" t="str">
        <f t="shared" si="8"/>
        <v/>
      </c>
      <c r="AH37" s="20" t="str">
        <f t="shared" si="9"/>
        <v/>
      </c>
      <c r="AI37" s="18" t="str">
        <f t="shared" si="10"/>
        <v/>
      </c>
      <c r="AJ37" s="27"/>
    </row>
    <row r="38" spans="1:36" ht="12.5" customHeight="1">
      <c r="A38" s="15">
        <v>33</v>
      </c>
      <c r="B38" s="16" t="str">
        <f>IF(Таблица1[[#This Row],[Столбец3]]&lt;&gt;"",B37,"")</f>
        <v/>
      </c>
      <c r="C38" s="28"/>
      <c r="D38" s="28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16" t="str">
        <f t="shared" si="0"/>
        <v/>
      </c>
      <c r="Z38" s="18" t="str">
        <f t="shared" si="1"/>
        <v/>
      </c>
      <c r="AA38" s="16" t="str">
        <f t="shared" si="2"/>
        <v/>
      </c>
      <c r="AB38" s="18" t="str">
        <f t="shared" si="3"/>
        <v/>
      </c>
      <c r="AC38" s="16" t="str">
        <f t="shared" si="4"/>
        <v/>
      </c>
      <c r="AD38" s="18" t="str">
        <f t="shared" si="5"/>
        <v/>
      </c>
      <c r="AE38" s="16" t="str">
        <f t="shared" si="6"/>
        <v/>
      </c>
      <c r="AF38" s="18" t="str">
        <f t="shared" si="7"/>
        <v/>
      </c>
      <c r="AG38" s="19" t="str">
        <f t="shared" si="8"/>
        <v/>
      </c>
      <c r="AH38" s="20" t="str">
        <f t="shared" si="9"/>
        <v/>
      </c>
      <c r="AI38" s="18" t="str">
        <f t="shared" si="10"/>
        <v/>
      </c>
      <c r="AJ38" s="30"/>
    </row>
    <row r="39" spans="1:36" ht="12.5" customHeight="1">
      <c r="A39" s="31" t="s">
        <v>25</v>
      </c>
      <c r="B39" s="32"/>
      <c r="C39" s="33" t="s">
        <v>30</v>
      </c>
      <c r="D39" s="33"/>
      <c r="E39" s="34">
        <f>COUNTIF(E$6:E38,"&gt;=9")</f>
        <v>3</v>
      </c>
      <c r="F39" s="34">
        <f>COUNTIF(F$6:F38,"&gt;=9")</f>
        <v>5</v>
      </c>
      <c r="G39" s="34">
        <f>COUNTIF(G$6:G38,"&gt;=9")</f>
        <v>3</v>
      </c>
      <c r="H39" s="34">
        <f>COUNTIF(H$6:H38,"&gt;=9")</f>
        <v>5</v>
      </c>
      <c r="I39" s="34">
        <f>COUNTIF(I$6:I38,"&gt;=9")</f>
        <v>9</v>
      </c>
      <c r="J39" s="34">
        <f>COUNTIF(J$6:J38,"&gt;=9")</f>
        <v>9</v>
      </c>
      <c r="K39" s="34">
        <f>COUNTIF(K$6:K38,"&gt;=9")</f>
        <v>9</v>
      </c>
      <c r="L39" s="34">
        <f>COUNTIF(L$6:L38,"&gt;=9")</f>
        <v>4</v>
      </c>
      <c r="M39" s="34">
        <f>COUNTIF(M$6:M38,"&gt;=9")</f>
        <v>10</v>
      </c>
      <c r="N39" s="34">
        <f>COUNTIF(N$6:N38,"&gt;=9")</f>
        <v>10</v>
      </c>
      <c r="O39" s="34">
        <f>COUNTIF(O$6:O38,"&gt;=9")</f>
        <v>12</v>
      </c>
      <c r="P39" s="34">
        <f>COUNTIF(P$6:P38,"&gt;=9")</f>
        <v>10</v>
      </c>
      <c r="Q39" s="34">
        <f>COUNTIF(Q$6:Q38,"&gt;=9")</f>
        <v>3</v>
      </c>
      <c r="R39" s="34">
        <f>COUNTIF(R$6:R38,"&gt;=9")</f>
        <v>5</v>
      </c>
      <c r="S39" s="34">
        <f>COUNTIF(S$6:S38,"&gt;=9")</f>
        <v>9</v>
      </c>
      <c r="T39" s="34">
        <f>COUNTIF(T$6:T38,"&gt;=9")</f>
        <v>9</v>
      </c>
      <c r="U39" s="34">
        <f>COUNTIF(U$6:U38,"&gt;=9")</f>
        <v>11</v>
      </c>
      <c r="V39" s="34">
        <f>COUNTIF(V$6:V38,"&gt;=9")</f>
        <v>15</v>
      </c>
      <c r="W39" s="34">
        <f>COUNTIF(W$6:W38,"&gt;=9")</f>
        <v>13</v>
      </c>
      <c r="X39" s="34"/>
      <c r="Y39" s="34"/>
      <c r="Z39" s="35">
        <f>IF(MIN(E6:X6)&gt;=9,1,0)+IF(MIN(E7:X7)&gt;=9,1,0)+IF(MIN(E8:X8)&gt;=9,1,0)+IF(MIN(E9:X9)&gt;=9,1,0)+IF(MIN(E10:X10)&gt;=9,1,0)+IF(MIN(E11:X11)&gt;=9,1,0)+IF(MIN(E12:X12)&gt;=9,1,0)+IF(MIN(E13:X13)&gt;=9,1,0)+IF(MIN(E14:X14)&gt;=9,1,0)+IF(MIN(E15:X15)&gt;=9,1,0)+IF(MIN(E16:X16)&gt;=9,1,0)+IF(MIN(E17:X17)&gt;=9,1,0)+IF(MIN(E18:X18)&gt;=9,1,0)+IF(MIN(E19:X19)&gt;=9,1,0)+IF(MIN(E20:X20)&gt;=9,1,0)+IF(MIN(E21:X21)&gt;=9,1,0)+IF(MIN(E22:X22)&gt;=9,1,0)+IF(MIN(E23:X23)&gt;=9,1,0)+IF(MIN(E24:X24)&gt;=9,1,0)+IF(MIN(E25:X25)&gt;=9,1,0)+IF(MIN(E26:X26)&gt;=9,1,0)+IF(MIN(E27:X27)&gt;=9,1,0)+IF(MIN(E28:X28)&gt;=9,1,0)+IF(MIN(E29:X29)&gt;=9,1,0)+IF(MIN(E30:X30)&gt;=9,1,0)+IF(MIN(E31:X31)&gt;=9,1,0)+IF(MIN(E32:X32)&gt;=9,1,0)+IF(MIN(E33:X33)&gt;=9,1,0)+IF(MIN(E34:X34)&gt;=9,1,0)+IF(MIN(E35:X35)&gt;=9,1,0)+IF(MIN(E36:X36)&gt;=9,1,0)+IF(MIN(E37:X37)&gt;=9,1,0)+IF(MIN(E38:X38)&gt;=9,1,0)</f>
        <v>3</v>
      </c>
      <c r="AA39" s="36" t="s">
        <v>90</v>
      </c>
      <c r="AB39" s="37"/>
      <c r="AC39" s="37"/>
      <c r="AD39" s="37"/>
      <c r="AE39" s="38"/>
      <c r="AF39" s="39"/>
      <c r="AG39" s="40" t="s">
        <v>91</v>
      </c>
      <c r="AH39" s="41" t="s">
        <v>92</v>
      </c>
      <c r="AI39" s="42" t="s">
        <v>93</v>
      </c>
      <c r="AJ39" s="34"/>
    </row>
    <row r="40" spans="1:36" ht="12.5" customHeight="1">
      <c r="A40" s="43"/>
      <c r="B40" s="44"/>
      <c r="C40" s="33" t="s">
        <v>32</v>
      </c>
      <c r="D40" s="33"/>
      <c r="E40" s="34">
        <f>COUNTIF(E$6:E38,"&gt;=7")-E39</f>
        <v>7</v>
      </c>
      <c r="F40" s="34">
        <f>COUNTIF(F$6:F38,"&gt;=7")-F39</f>
        <v>5</v>
      </c>
      <c r="G40" s="34">
        <f>COUNTIF(G$6:G38,"&gt;=7")-G39</f>
        <v>6</v>
      </c>
      <c r="H40" s="34">
        <f>COUNTIF(H$6:H38,"&gt;=7")-H39</f>
        <v>6</v>
      </c>
      <c r="I40" s="34">
        <f>COUNTIF(I$6:I38,"&gt;=7")-I39</f>
        <v>2</v>
      </c>
      <c r="J40" s="34">
        <f>COUNTIF(J$6:J38,"&gt;=7")-J39</f>
        <v>1</v>
      </c>
      <c r="K40" s="34">
        <f>COUNTIF(K$6:K38,"&gt;=7")-K39</f>
        <v>1</v>
      </c>
      <c r="L40" s="34">
        <f>COUNTIF(L$6:L38,"&gt;=7")-L39</f>
        <v>7</v>
      </c>
      <c r="M40" s="34">
        <f>COUNTIF(M$6:M38,"&gt;=7")-M39</f>
        <v>1</v>
      </c>
      <c r="N40" s="34">
        <f>COUNTIF(N$6:N38,"&gt;=7")-N39</f>
        <v>1</v>
      </c>
      <c r="O40" s="34">
        <f>COUNTIF(O$6:O38,"&gt;=7")-O39</f>
        <v>0</v>
      </c>
      <c r="P40" s="34">
        <f>COUNTIF(P$6:P38,"&gt;=7")-P39</f>
        <v>3</v>
      </c>
      <c r="Q40" s="34">
        <f>COUNTIF(Q$6:Q38,"&gt;=7")-Q39</f>
        <v>7</v>
      </c>
      <c r="R40" s="34">
        <f>COUNTIF(R$6:R38,"&gt;=7")-R39</f>
        <v>9</v>
      </c>
      <c r="S40" s="34">
        <f>COUNTIF(S$6:S38,"&gt;=7")-S39</f>
        <v>4</v>
      </c>
      <c r="T40" s="34">
        <f>COUNTIF(T$6:T38,"&gt;=7")-T39</f>
        <v>7</v>
      </c>
      <c r="U40" s="34">
        <f>COUNTIF(U$6:U38,"&gt;=7")-U39</f>
        <v>1</v>
      </c>
      <c r="V40" s="34">
        <f>COUNTIF(V$6:V38,"&gt;=7")-V39</f>
        <v>1</v>
      </c>
      <c r="W40" s="34">
        <f>COUNTIF(W$6:W38,"&gt;=7")-W39</f>
        <v>3</v>
      </c>
      <c r="X40" s="34"/>
      <c r="Y40" s="34"/>
      <c r="Z40" s="35">
        <f>IF(MIN(E6:X6)&gt;=7,1,0)+IF(MIN(E7:X7)&gt;=7,1,0)+IF(MIN(E8:X8)&gt;=7,1,0)+IF(MIN(E9:X9)&gt;=7,1,0)+IF(MIN(E10:X10)&gt;=7,1,0)+IF(MIN(E11:X11)&gt;=7,1,0)+IF(MIN(E12:X12)&gt;=7,1,0)+IF(MIN(E13:X13)&gt;=7,1,0)+IF(MIN(E14:X14)&gt;=7,1,0)+IF(MIN(E15:X15)&gt;=7,1,0)+IF(MIN(E16:X16)&gt;=7,1,0)+IF(MIN(E17:X17)&gt;=7,1,0)+IF(MIN(E18:X18)&gt;=7,1,0)+IF(MIN(E19:X19)&gt;=7,1,0)+IF(MIN(E20:X20)&gt;=7,1,0)+IF(MIN(E21:X21)&gt;=7,1,0)+IF(MIN(E22:X22)&gt;=7,1,0)+IF(MIN(E23:X23)&gt;=7,1,0)+IF(MIN(E24:X24)&gt;=7,1,0)+IF(MIN(E25:X25)&gt;=7,1,0)+IF(MIN(E26:X26)&gt;=7,1,0)+IF(MIN(E27:X27)&gt;=7,1,0)+IF(MIN(E28:X28)&gt;=7,1,0)+IF(MIN(E29:X29)&gt;=7,1,0)+IF(MIN(E30:X30)&gt;=7,1,0)+IF(MIN(E31:X31)&gt;=7,1,0)+IF(MIN(E32:X32)&gt;=7,1,0)+IF(MIN(E33:X33)&gt;=7,1,0)+IF(MIN(E34:X34)&gt;=7,1,0)+IF(MIN(E35:X35)&gt;=7,1,0)+IF(MIN(E36:X36)&gt;=7,1,0)+IF(MIN(E37:X37)&gt;=7,1,0)+IF(MIN(E38:X38)&gt;=7,1,0)-Z39</f>
        <v>6</v>
      </c>
      <c r="AA40" s="36" t="s">
        <v>94</v>
      </c>
      <c r="AB40" s="37"/>
      <c r="AC40" s="37"/>
      <c r="AD40" s="37"/>
      <c r="AE40" s="38"/>
      <c r="AF40" s="39"/>
      <c r="AG40" s="45"/>
      <c r="AH40" s="46"/>
      <c r="AI40" s="47"/>
      <c r="AJ40" s="34"/>
    </row>
    <row r="41" spans="1:36" ht="12.5" customHeight="1">
      <c r="A41" s="43"/>
      <c r="B41" s="44"/>
      <c r="C41" s="33" t="s">
        <v>33</v>
      </c>
      <c r="D41" s="33"/>
      <c r="E41" s="34">
        <f>COUNTIF(E$6:E38,"&gt;=4")-E40-E39</f>
        <v>6</v>
      </c>
      <c r="F41" s="34">
        <f>COUNTIF(F$6:F38,"&gt;=4")-F40-F39</f>
        <v>6</v>
      </c>
      <c r="G41" s="34">
        <f>COUNTIF(G$6:G38,"&gt;=4")-G40-G39</f>
        <v>7</v>
      </c>
      <c r="H41" s="34">
        <f>COUNTIF(H$6:H38,"&gt;=4")-H40-H39</f>
        <v>5</v>
      </c>
      <c r="I41" s="34">
        <f>COUNTIF(I$6:I38,"&gt;=4")-I40-I39</f>
        <v>5</v>
      </c>
      <c r="J41" s="34">
        <f>COUNTIF(J$6:J38,"&gt;=4")-J40-J39</f>
        <v>6</v>
      </c>
      <c r="K41" s="34">
        <f>COUNTIF(K$6:K38,"&gt;=4")-K40-K39</f>
        <v>6</v>
      </c>
      <c r="L41" s="34">
        <f>COUNTIF(L$6:L38,"&gt;=4")-L40-L39</f>
        <v>5</v>
      </c>
      <c r="M41" s="34">
        <f>COUNTIF(M$6:M38,"&gt;=4")-M40-M39</f>
        <v>5</v>
      </c>
      <c r="N41" s="34">
        <f>COUNTIF(N$6:N38,"&gt;=4")-N40-N39</f>
        <v>5</v>
      </c>
      <c r="O41" s="34">
        <f>COUNTIF(O$6:O38,"&gt;=4")-O40-O39</f>
        <v>4</v>
      </c>
      <c r="P41" s="34">
        <f>COUNTIF(P$6:P38,"&gt;=4")-P40-P39</f>
        <v>3</v>
      </c>
      <c r="Q41" s="34">
        <f>COUNTIF(Q$6:Q38,"&gt;=4")-Q40-Q39</f>
        <v>6</v>
      </c>
      <c r="R41" s="34">
        <f>COUNTIF(R$6:R38,"&gt;=4")-R40-R39</f>
        <v>2</v>
      </c>
      <c r="S41" s="34">
        <f>COUNTIF(S$6:S38,"&gt;=4")-S40-S39</f>
        <v>3</v>
      </c>
      <c r="T41" s="34">
        <f>COUNTIF(T$6:T38,"&gt;=4")-T40-T39</f>
        <v>0</v>
      </c>
      <c r="U41" s="34">
        <f>COUNTIF(U$6:U38,"&gt;=4")-U40-U39</f>
        <v>4</v>
      </c>
      <c r="V41" s="34">
        <f>COUNTIF(V$6:V38,"&gt;=4")-V40-V39</f>
        <v>0</v>
      </c>
      <c r="W41" s="34">
        <f>COUNTIF(W$6:W38,"&gt;=4")-W40-W39</f>
        <v>0</v>
      </c>
      <c r="X41" s="34"/>
      <c r="Y41" s="34"/>
      <c r="Z41" s="48">
        <f>IF(MIN(E6:X6)&gt;=4,1,0)+IF(MIN(E7:X7)&gt;=4,1,0)+IF(MIN(E8:X8)&gt;=4,1,0)+IF(MIN(E9:X9)&gt;=4,1,0)+IF(MIN(E10:X10)&gt;=4,1,0)+IF(MIN(E11:X11)&gt;=4,1,0)+IF(MIN(E12:X12)&gt;=4,1,0)+IF(MIN(E13:X13)&gt;=4,1,0)+IF(MIN(E14:X14)&gt;=4,1,0)+IF(MIN(E15:X15)&gt;=4,1,0)+IF(MIN(E16:X16)&gt;=4,1,0)+IF(MIN(E17:X17)&gt;=4,1,0)+IF(MIN(E18:X18)&gt;=4,1,0)+IF(MIN(E19:X19)&gt;=4,1,0)+IF(MIN(E20:X20)&gt;=4,1,0)+IF(MIN(E21:X21)&gt;=4,1,0)+IF(MIN(E22:X22)&gt;=4,1,0)+IF(MIN(E23:X23)&gt;=4,1,0)+IF(MIN(E24:X24)&gt;=4,1,0)+IF(MIN(E25:X25)&gt;=4,1,0)+IF(MIN(E26:X26)&gt;=4,1,0)+IF(MIN(E27:X27)&gt;=4,1,0)+IF(MIN(E28:X28)&gt;=4,1,0)+IF(MIN(E29:X29)&gt;=4,1,0)+IF(MIN(E30:X30)&gt;=4,1,0)+IF(MIN(E31:X31)&gt;=4,1,0)+IF(MIN(E32:X32)&gt;=4,1,0)+IF(MIN(E33:X33)&gt;=4,1,0)+IF(MIN(E34:X34)&gt;=4,1,0)+IF(MIN(E35:X35)&gt;=4,1,0)+IF(MIN(E36:X36)&gt;=4,1,0)+IF(MIN(E37:X37)&gt;=4,1,0)+IF(MIN(E38:X38)&gt;=4,1,0)-Z39-Z40</f>
        <v>7</v>
      </c>
      <c r="AA41" s="36" t="s">
        <v>95</v>
      </c>
      <c r="AB41" s="37"/>
      <c r="AC41" s="37"/>
      <c r="AD41" s="37"/>
      <c r="AE41" s="38"/>
      <c r="AF41" s="39"/>
      <c r="AG41" s="45"/>
      <c r="AH41" s="46"/>
      <c r="AI41" s="47"/>
      <c r="AJ41" s="34"/>
    </row>
    <row r="42" spans="1:36" ht="12.5" customHeight="1">
      <c r="A42" s="49"/>
      <c r="B42" s="50"/>
      <c r="C42" s="33" t="s">
        <v>34</v>
      </c>
      <c r="D42" s="33"/>
      <c r="E42" s="34">
        <f>COUNTIF(E$6:E38,"&lt;4")</f>
        <v>0</v>
      </c>
      <c r="F42" s="34">
        <f>COUNTIF(F$6:F38,"&lt;4")</f>
        <v>0</v>
      </c>
      <c r="G42" s="34">
        <f>COUNTIF(G$6:G38,"&lt;4")</f>
        <v>0</v>
      </c>
      <c r="H42" s="34">
        <f>COUNTIF(H$6:H38,"&lt;4")</f>
        <v>0</v>
      </c>
      <c r="I42" s="34">
        <f>COUNTIF(I$6:I38,"&lt;4")</f>
        <v>0</v>
      </c>
      <c r="J42" s="34">
        <f>COUNTIF(J$6:J38,"&lt;4")</f>
        <v>0</v>
      </c>
      <c r="K42" s="34">
        <f>COUNTIF(K$6:K38,"&lt;4")</f>
        <v>0</v>
      </c>
      <c r="L42" s="34">
        <f>COUNTIF(L$6:L38,"&lt;4")</f>
        <v>0</v>
      </c>
      <c r="M42" s="34">
        <f>COUNTIF(M$6:M38,"&lt;4")</f>
        <v>0</v>
      </c>
      <c r="N42" s="34">
        <f>COUNTIF(N$6:N38,"&lt;4")</f>
        <v>0</v>
      </c>
      <c r="O42" s="34">
        <f>COUNTIF(O$6:O38,"&lt;4")</f>
        <v>0</v>
      </c>
      <c r="P42" s="34">
        <f>COUNTIF(P$6:P38,"&lt;4")</f>
        <v>0</v>
      </c>
      <c r="Q42" s="34">
        <f>COUNTIF(Q$6:Q38,"&lt;4")</f>
        <v>0</v>
      </c>
      <c r="R42" s="34">
        <f>COUNTIF(R$6:R38,"&lt;4")</f>
        <v>0</v>
      </c>
      <c r="S42" s="34">
        <f>COUNTIF(S$6:S38,"&lt;4")</f>
        <v>0</v>
      </c>
      <c r="T42" s="34">
        <f>COUNTIF(T$6:T38,"&lt;4")</f>
        <v>0</v>
      </c>
      <c r="U42" s="34">
        <f>COUNTIF(U$6:U38,"&lt;4")</f>
        <v>0</v>
      </c>
      <c r="V42" s="34">
        <f>COUNTIF(V$6:V38,"&lt;4")</f>
        <v>0</v>
      </c>
      <c r="W42" s="34">
        <f>COUNTIF(W$6:W38,"&lt;4")</f>
        <v>0</v>
      </c>
      <c r="X42" s="34"/>
      <c r="Y42" s="34"/>
      <c r="Z42" s="48">
        <f>IF(COUNTIF(E43:X43,"&gt;0"),Z45-Z39-Z40-Z41,"")</f>
        <v>0</v>
      </c>
      <c r="AA42" s="36" t="s">
        <v>96</v>
      </c>
      <c r="AB42" s="37"/>
      <c r="AC42" s="37"/>
      <c r="AD42" s="37"/>
      <c r="AE42" s="38"/>
      <c r="AF42" s="39"/>
      <c r="AG42" s="51"/>
      <c r="AH42" s="52"/>
      <c r="AI42" s="53"/>
      <c r="AJ42" s="34"/>
    </row>
    <row r="43" spans="1:36" ht="12.5" customHeight="1">
      <c r="A43" s="54" t="s">
        <v>97</v>
      </c>
      <c r="B43" s="55"/>
      <c r="C43" s="56"/>
      <c r="D43" s="57"/>
      <c r="E43" s="58">
        <f>IF(COUNTIF(E39:E42,"&gt;0"),AVERAGE(E6:E38),"")</f>
        <v>7.1875</v>
      </c>
      <c r="F43" s="58">
        <f>IF(COUNTIF(F39:F42,"&gt;0"),AVERAGE(F6:F38),"")</f>
        <v>7.625</v>
      </c>
      <c r="G43" s="58">
        <f t="shared" ref="G43:W43" si="11">IF(COUNTIF(G39:G42,"&gt;0"),AVERAGE(G6:G38),"")</f>
        <v>7.1875</v>
      </c>
      <c r="H43" s="58">
        <f t="shared" si="11"/>
        <v>8</v>
      </c>
      <c r="I43" s="58">
        <f t="shared" si="11"/>
        <v>8</v>
      </c>
      <c r="J43" s="58">
        <f t="shared" si="11"/>
        <v>7.9375</v>
      </c>
      <c r="K43" s="58">
        <f t="shared" si="11"/>
        <v>7.75</v>
      </c>
      <c r="L43" s="58">
        <f t="shared" si="11"/>
        <v>7.625</v>
      </c>
      <c r="M43" s="58">
        <f t="shared" si="11"/>
        <v>8.375</v>
      </c>
      <c r="N43" s="58">
        <f t="shared" si="11"/>
        <v>8.4375</v>
      </c>
      <c r="O43" s="58">
        <f t="shared" si="11"/>
        <v>8.625</v>
      </c>
      <c r="P43" s="58">
        <f t="shared" si="11"/>
        <v>8.6875</v>
      </c>
      <c r="Q43" s="58">
        <f t="shared" si="11"/>
        <v>7.4375</v>
      </c>
      <c r="R43" s="58">
        <f t="shared" si="11"/>
        <v>7.875</v>
      </c>
      <c r="S43" s="58">
        <f t="shared" si="11"/>
        <v>8.25</v>
      </c>
      <c r="T43" s="58">
        <f t="shared" si="11"/>
        <v>8.5</v>
      </c>
      <c r="U43" s="58">
        <f t="shared" si="11"/>
        <v>8.75</v>
      </c>
      <c r="V43" s="58">
        <f t="shared" si="11"/>
        <v>9.75</v>
      </c>
      <c r="W43" s="58">
        <f t="shared" si="11"/>
        <v>9.5625</v>
      </c>
      <c r="X43" s="58"/>
      <c r="Y43" s="58"/>
      <c r="Z43" s="59">
        <f>IF(COUNTIF(E43:Y43,"&gt;0"),AVERAGE(E43:Y43),"")</f>
        <v>8.1875</v>
      </c>
      <c r="AA43" s="60" t="str">
        <f>IF(COUNTIF(E43:X43,"&gt;0"),IF(AND(Z43=AG43, Z44=AG44), "Ҳисоб дақиқ аст", "Хатои ҳисоббарорӣ"),"")</f>
        <v>Ҳисоб дақиқ аст</v>
      </c>
      <c r="AB43" s="61"/>
      <c r="AC43" s="61"/>
      <c r="AD43" s="61"/>
      <c r="AE43" s="61"/>
      <c r="AF43" s="62"/>
      <c r="AG43" s="59">
        <f>IF(COUNTIF(E43:X43,"&gt;0"),AVERAGE(AG6:AG42),"")</f>
        <v>8.1874999999999982</v>
      </c>
      <c r="AH43" s="63">
        <f>IF(COUNTIF(AH6:AH38,"&gt;0"),AVERAGE(AH6:AH38),"")</f>
        <v>100</v>
      </c>
      <c r="AI43" s="64">
        <f>IF(COUNTIF(AI6:AI38,"&gt;0"),AVERAGE(AI6:AI38),"")</f>
        <v>74.342105263157904</v>
      </c>
      <c r="AJ43" s="34"/>
    </row>
    <row r="44" spans="1:36" ht="12.5" customHeight="1">
      <c r="A44" s="65" t="s">
        <v>98</v>
      </c>
      <c r="B44" s="66"/>
      <c r="C44" s="67"/>
      <c r="D44" s="68"/>
      <c r="E44" s="34">
        <f>IF(COUNTIF(E6:E38,"&gt;0"),E43*10,"")</f>
        <v>71.875</v>
      </c>
      <c r="F44" s="34">
        <f t="shared" ref="F44:W44" si="12">IF(COUNTIF(F6:F38,"&gt;0"),F43*10,"")</f>
        <v>76.25</v>
      </c>
      <c r="G44" s="34">
        <f t="shared" si="12"/>
        <v>71.875</v>
      </c>
      <c r="H44" s="34">
        <f t="shared" si="12"/>
        <v>80</v>
      </c>
      <c r="I44" s="34">
        <f t="shared" si="12"/>
        <v>80</v>
      </c>
      <c r="J44" s="34">
        <f t="shared" si="12"/>
        <v>79.375</v>
      </c>
      <c r="K44" s="34">
        <f t="shared" si="12"/>
        <v>77.5</v>
      </c>
      <c r="L44" s="34">
        <f t="shared" si="12"/>
        <v>76.25</v>
      </c>
      <c r="M44" s="34">
        <f t="shared" si="12"/>
        <v>83.75</v>
      </c>
      <c r="N44" s="34">
        <f t="shared" si="12"/>
        <v>84.375</v>
      </c>
      <c r="O44" s="34">
        <f t="shared" si="12"/>
        <v>86.25</v>
      </c>
      <c r="P44" s="34">
        <f t="shared" si="12"/>
        <v>86.875</v>
      </c>
      <c r="Q44" s="34">
        <f t="shared" si="12"/>
        <v>74.375</v>
      </c>
      <c r="R44" s="34">
        <f t="shared" si="12"/>
        <v>78.75</v>
      </c>
      <c r="S44" s="34">
        <f t="shared" si="12"/>
        <v>82.5</v>
      </c>
      <c r="T44" s="34">
        <f t="shared" si="12"/>
        <v>85</v>
      </c>
      <c r="U44" s="34">
        <f t="shared" si="12"/>
        <v>87.5</v>
      </c>
      <c r="V44" s="34">
        <f t="shared" si="12"/>
        <v>97.5</v>
      </c>
      <c r="W44" s="34">
        <f t="shared" si="12"/>
        <v>95.625</v>
      </c>
      <c r="X44" s="34"/>
      <c r="Y44" s="34"/>
      <c r="Z44" s="69">
        <f>IF(COUNTIF(E44:Y44,"&gt;0"),AVERAGE(E44:Y44),"")</f>
        <v>81.875</v>
      </c>
      <c r="AA44" s="70"/>
      <c r="AB44" s="71"/>
      <c r="AC44" s="71"/>
      <c r="AD44" s="71"/>
      <c r="AE44" s="71"/>
      <c r="AF44" s="72"/>
      <c r="AG44" s="69">
        <f>IF(COUNTIF(E43:X43,"&gt;0"),AG43*10,"")</f>
        <v>81.874999999999986</v>
      </c>
      <c r="AH44" s="65" t="s">
        <v>98</v>
      </c>
      <c r="AI44" s="67"/>
      <c r="AJ44" s="34"/>
    </row>
    <row r="45" spans="1:36" ht="12.5" customHeight="1">
      <c r="A45" s="73" t="s">
        <v>99</v>
      </c>
      <c r="B45" s="74"/>
      <c r="C45" s="75"/>
      <c r="D45" s="76"/>
      <c r="E45" s="58">
        <f>IF(COUNTIF(E6:E38,"&gt;0"),E39+E40+E41,"")</f>
        <v>16</v>
      </c>
      <c r="F45" s="58">
        <f t="shared" ref="F45:W45" si="13">IF(COUNTIF(F6:F38,"&gt;0"),F39+F40+F41,"")</f>
        <v>16</v>
      </c>
      <c r="G45" s="58">
        <f t="shared" si="13"/>
        <v>16</v>
      </c>
      <c r="H45" s="58">
        <f t="shared" si="13"/>
        <v>16</v>
      </c>
      <c r="I45" s="58">
        <f t="shared" si="13"/>
        <v>16</v>
      </c>
      <c r="J45" s="58">
        <f t="shared" si="13"/>
        <v>16</v>
      </c>
      <c r="K45" s="58">
        <f t="shared" si="13"/>
        <v>16</v>
      </c>
      <c r="L45" s="58">
        <f t="shared" si="13"/>
        <v>16</v>
      </c>
      <c r="M45" s="58">
        <f t="shared" si="13"/>
        <v>16</v>
      </c>
      <c r="N45" s="58">
        <f t="shared" si="13"/>
        <v>16</v>
      </c>
      <c r="O45" s="58">
        <f t="shared" si="13"/>
        <v>16</v>
      </c>
      <c r="P45" s="58">
        <f t="shared" si="13"/>
        <v>16</v>
      </c>
      <c r="Q45" s="58">
        <f t="shared" si="13"/>
        <v>16</v>
      </c>
      <c r="R45" s="58">
        <f t="shared" si="13"/>
        <v>16</v>
      </c>
      <c r="S45" s="58">
        <f t="shared" si="13"/>
        <v>16</v>
      </c>
      <c r="T45" s="58">
        <f t="shared" si="13"/>
        <v>16</v>
      </c>
      <c r="U45" s="58">
        <f t="shared" si="13"/>
        <v>16</v>
      </c>
      <c r="V45" s="58">
        <f t="shared" si="13"/>
        <v>16</v>
      </c>
      <c r="W45" s="58">
        <f t="shared" si="13"/>
        <v>16</v>
      </c>
      <c r="X45" s="58"/>
      <c r="Y45" s="58"/>
      <c r="Z45" s="58">
        <f>IF(COUNTIF(E45:W45,"&gt;0"),AVERAGE(E45:W45),"")</f>
        <v>16</v>
      </c>
      <c r="AA45" s="65" t="s">
        <v>100</v>
      </c>
      <c r="AB45" s="66"/>
      <c r="AC45" s="66"/>
      <c r="AD45" s="66"/>
      <c r="AE45" s="67"/>
      <c r="AF45" s="48">
        <f>IF(COUNTIF(D6:D38,"&lt;&gt;"""),COUNTIF(D6:D38,"=д"),"")</f>
        <v>9</v>
      </c>
      <c r="AG45" s="69"/>
      <c r="AH45" s="77"/>
      <c r="AI45" s="39"/>
      <c r="AJ45" s="34"/>
    </row>
    <row r="46" spans="1:36" ht="12.5" customHeight="1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9"/>
      <c r="Y46" s="79"/>
      <c r="Z46" s="80"/>
      <c r="AA46" s="79"/>
      <c r="AB46" s="80"/>
      <c r="AC46" s="79"/>
      <c r="AD46" s="80"/>
      <c r="AE46" s="79"/>
      <c r="AF46" s="80"/>
      <c r="AG46" s="81"/>
      <c r="AH46" s="82"/>
      <c r="AI46" s="80"/>
      <c r="AJ46" s="79"/>
    </row>
    <row r="47" spans="1:36" ht="12.5" customHeight="1">
      <c r="A47" s="83" t="s">
        <v>101</v>
      </c>
      <c r="B47" s="83"/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  <c r="AA47" s="83"/>
      <c r="AB47" s="83"/>
      <c r="AC47" s="83"/>
      <c r="AD47" s="83"/>
      <c r="AE47" s="83"/>
      <c r="AF47" s="83"/>
      <c r="AG47" s="83"/>
      <c r="AH47" s="83"/>
      <c r="AI47" s="83"/>
      <c r="AJ47" s="83"/>
    </row>
    <row r="48" spans="1:36" ht="12.5" customHeight="1">
      <c r="A48" s="79"/>
      <c r="B48" s="79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79"/>
      <c r="AC48" s="79"/>
      <c r="AD48" s="79"/>
      <c r="AE48" s="79"/>
      <c r="AF48" s="79"/>
      <c r="AG48" s="79"/>
      <c r="AH48" s="79"/>
      <c r="AI48" s="79"/>
      <c r="AJ48" s="79"/>
    </row>
    <row r="49" spans="1:36" ht="12.5" customHeight="1">
      <c r="A49" s="83" t="s">
        <v>102</v>
      </c>
      <c r="B49" s="83"/>
      <c r="C49" s="83"/>
      <c r="D49" s="83"/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  <c r="AA49" s="83"/>
      <c r="AB49" s="83"/>
      <c r="AC49" s="83"/>
      <c r="AD49" s="83"/>
      <c r="AE49" s="83"/>
      <c r="AF49" s="83"/>
      <c r="AG49" s="83"/>
      <c r="AH49" s="83"/>
      <c r="AI49" s="83"/>
      <c r="AJ49" s="83"/>
    </row>
    <row r="50" spans="1:36">
      <c r="A50" s="79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9"/>
      <c r="AE50" s="79"/>
      <c r="AF50" s="79"/>
      <c r="AG50" s="79"/>
      <c r="AH50" s="79"/>
      <c r="AI50" s="79"/>
      <c r="AJ50" s="79"/>
    </row>
  </sheetData>
  <mergeCells count="49">
    <mergeCell ref="AH44:AI44"/>
    <mergeCell ref="A45:C45"/>
    <mergeCell ref="AA45:AE45"/>
    <mergeCell ref="A47:AJ47"/>
    <mergeCell ref="A49:AJ49"/>
    <mergeCell ref="AA40:AE40"/>
    <mergeCell ref="AA41:AE41"/>
    <mergeCell ref="AA42:AE42"/>
    <mergeCell ref="A43:C43"/>
    <mergeCell ref="AA43:AF44"/>
    <mergeCell ref="A44:C44"/>
    <mergeCell ref="Y3:AF3"/>
    <mergeCell ref="AG3:AG4"/>
    <mergeCell ref="AH3:AH4"/>
    <mergeCell ref="AI3:AI4"/>
    <mergeCell ref="AJ3:AJ4"/>
    <mergeCell ref="A39:B42"/>
    <mergeCell ref="AA39:AE39"/>
    <mergeCell ref="AG39:AG42"/>
    <mergeCell ref="AH39:AH42"/>
    <mergeCell ref="AI39:AI42"/>
    <mergeCell ref="S3:S4"/>
    <mergeCell ref="T3:T4"/>
    <mergeCell ref="U3:U4"/>
    <mergeCell ref="V3:V4"/>
    <mergeCell ref="W3:W4"/>
    <mergeCell ref="X3:X4"/>
    <mergeCell ref="M3:M4"/>
    <mergeCell ref="N3:N4"/>
    <mergeCell ref="O3:O4"/>
    <mergeCell ref="P3:P4"/>
    <mergeCell ref="Q3:Q4"/>
    <mergeCell ref="R3:R4"/>
    <mergeCell ref="G3:G4"/>
    <mergeCell ref="H3:H4"/>
    <mergeCell ref="I3:I4"/>
    <mergeCell ref="J3:J4"/>
    <mergeCell ref="K3:K4"/>
    <mergeCell ref="L3:L4"/>
    <mergeCell ref="A1:Z1"/>
    <mergeCell ref="AA1:AF1"/>
    <mergeCell ref="AG1:AJ1"/>
    <mergeCell ref="A2:AJ2"/>
    <mergeCell ref="A3:A4"/>
    <mergeCell ref="B3:B4"/>
    <mergeCell ref="C3:C4"/>
    <mergeCell ref="D3:D4"/>
    <mergeCell ref="E3:E4"/>
    <mergeCell ref="F3:F4"/>
  </mergeCells>
  <pageMargins left="0.39370078740157483" right="0.39370078740157483" top="0.39370078740157483" bottom="0.39370078740157483" header="0.39370078740157483" footer="0.31496062992125984"/>
  <pageSetup paperSize="9" scale="86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10Б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UsarZokirov</dc:creator>
  <cp:lastModifiedBy>UsarZokirov</cp:lastModifiedBy>
  <dcterms:created xsi:type="dcterms:W3CDTF">2026-10-17T09:43:56Z</dcterms:created>
  <dcterms:modified xsi:type="dcterms:W3CDTF">2026-10-17T09:44:23Z</dcterms:modified>
</cp:coreProperties>
</file>