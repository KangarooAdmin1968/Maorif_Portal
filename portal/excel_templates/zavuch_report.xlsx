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arZokirov\Desktop\"/>
    </mc:Choice>
  </mc:AlternateContent>
  <bookViews>
    <workbookView xWindow="0" yWindow="0" windowWidth="19200" windowHeight="8130"/>
  </bookViews>
  <sheets>
    <sheet name="Чораки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1" l="1"/>
  <c r="J5" i="1"/>
  <c r="K5" i="1"/>
  <c r="U5" i="1" s="1"/>
  <c r="L5" i="1"/>
  <c r="O5" i="1"/>
  <c r="X5" i="1" s="1"/>
  <c r="Q5" i="1"/>
  <c r="R5" i="1"/>
  <c r="S5" i="1" s="1"/>
  <c r="I6" i="1"/>
  <c r="J6" i="1"/>
  <c r="K6" i="1"/>
  <c r="L6" i="1"/>
  <c r="O6" i="1"/>
  <c r="Q6" i="1"/>
  <c r="R6" i="1"/>
  <c r="S6" i="1"/>
  <c r="U6" i="1"/>
  <c r="W6" i="1"/>
  <c r="X6" i="1"/>
  <c r="I7" i="1"/>
  <c r="J7" i="1"/>
  <c r="K7" i="1"/>
  <c r="L7" i="1"/>
  <c r="O7" i="1"/>
  <c r="Q7" i="1"/>
  <c r="R7" i="1"/>
  <c r="S7" i="1"/>
  <c r="U7" i="1"/>
  <c r="W7" i="1"/>
  <c r="X7" i="1"/>
  <c r="I8" i="1"/>
  <c r="I15" i="1" s="1"/>
  <c r="J8" i="1"/>
  <c r="L8" i="1" s="1"/>
  <c r="L15" i="1" s="1"/>
  <c r="K8" i="1"/>
  <c r="O8" i="1" s="1"/>
  <c r="I9" i="1"/>
  <c r="J9" i="1"/>
  <c r="K9" i="1"/>
  <c r="R9" i="1" s="1"/>
  <c r="S9" i="1" s="1"/>
  <c r="L9" i="1"/>
  <c r="O9" i="1"/>
  <c r="X9" i="1" s="1"/>
  <c r="Q9" i="1"/>
  <c r="I10" i="1"/>
  <c r="J10" i="1"/>
  <c r="K10" i="1"/>
  <c r="W10" i="1" s="1"/>
  <c r="L10" i="1"/>
  <c r="O10" i="1"/>
  <c r="X10" i="1" s="1"/>
  <c r="Q10" i="1"/>
  <c r="R10" i="1"/>
  <c r="S10" i="1"/>
  <c r="U10" i="1"/>
  <c r="I11" i="1"/>
  <c r="J11" i="1"/>
  <c r="K11" i="1"/>
  <c r="L11" i="1"/>
  <c r="O11" i="1"/>
  <c r="Q11" i="1"/>
  <c r="R11" i="1"/>
  <c r="S11" i="1"/>
  <c r="U11" i="1"/>
  <c r="W11" i="1"/>
  <c r="X11" i="1"/>
  <c r="I12" i="1"/>
  <c r="K12" i="1" s="1"/>
  <c r="J12" i="1"/>
  <c r="L12" i="1"/>
  <c r="I13" i="1"/>
  <c r="J13" i="1"/>
  <c r="K13" i="1"/>
  <c r="O13" i="1" s="1"/>
  <c r="L13" i="1"/>
  <c r="I14" i="1"/>
  <c r="J14" i="1"/>
  <c r="K14" i="1"/>
  <c r="U14" i="1" s="1"/>
  <c r="L14" i="1"/>
  <c r="O14" i="1"/>
  <c r="X14" i="1" s="1"/>
  <c r="Q14" i="1"/>
  <c r="R14" i="1"/>
  <c r="S14" i="1" s="1"/>
  <c r="C15" i="1"/>
  <c r="D15" i="1"/>
  <c r="E15" i="1"/>
  <c r="F15" i="1"/>
  <c r="G15" i="1"/>
  <c r="H15" i="1"/>
  <c r="N15" i="1"/>
  <c r="P15" i="1"/>
  <c r="T15" i="1"/>
  <c r="V15" i="1"/>
  <c r="O12" i="1" l="1"/>
  <c r="Q12" i="1"/>
  <c r="R12" i="1"/>
  <c r="S12" i="1" s="1"/>
  <c r="U12" i="1"/>
  <c r="W12" i="1"/>
  <c r="X8" i="1"/>
  <c r="K15" i="1"/>
  <c r="J15" i="1"/>
  <c r="W8" i="1"/>
  <c r="W13" i="1"/>
  <c r="U8" i="1"/>
  <c r="R15" i="1"/>
  <c r="S15" i="1" s="1"/>
  <c r="U13" i="1"/>
  <c r="W9" i="1"/>
  <c r="R8" i="1"/>
  <c r="S8" i="1" s="1"/>
  <c r="W14" i="1"/>
  <c r="R13" i="1"/>
  <c r="S13" i="1" s="1"/>
  <c r="U9" i="1"/>
  <c r="Q8" i="1"/>
  <c r="Q13" i="1"/>
  <c r="X13" i="1" s="1"/>
  <c r="W5" i="1"/>
  <c r="O15" i="1" l="1"/>
  <c r="Q15" i="1"/>
  <c r="U15" i="1"/>
  <c r="W15" i="1"/>
  <c r="X12" i="1"/>
  <c r="X15" i="1" l="1"/>
</calcChain>
</file>

<file path=xl/sharedStrings.xml><?xml version="1.0" encoding="utf-8"?>
<sst xmlns="http://schemas.openxmlformats.org/spreadsheetml/2006/main" count="51" uniqueCount="35">
  <si>
    <t xml:space="preserve">                                     Муовини директор оид ба таълим:                              Калонхӯҷаева М</t>
  </si>
  <si>
    <t>Директори муассиса:                             Одинаев С. З.</t>
  </si>
  <si>
    <r>
      <t>Эзоҳ:</t>
    </r>
    <r>
      <rPr>
        <sz val="11"/>
        <color theme="1"/>
        <rFont val="Arial"/>
        <family val="2"/>
        <charset val="204"/>
      </rPr>
      <t xml:space="preserve"> Шумораи хонандагони синфҳои 1-ум 47 нафар аз ҷумла духтарон 25  нафарро ташкил медиҳад.</t>
    </r>
  </si>
  <si>
    <t>Ҳамагӣ:</t>
  </si>
  <si>
    <t>СИНФИ 11</t>
  </si>
  <si>
    <t>СИНФИ 10</t>
  </si>
  <si>
    <t>СИНФИ 9</t>
  </si>
  <si>
    <t>СИНФИ 8</t>
  </si>
  <si>
    <t>СИНФИ 7</t>
  </si>
  <si>
    <t>СИНФИ 6</t>
  </si>
  <si>
    <t>СИНФИ 5</t>
  </si>
  <si>
    <t>СИНФИ 4</t>
  </si>
  <si>
    <t>СИНФИ 3</t>
  </si>
  <si>
    <t>СИНФИ 2</t>
  </si>
  <si>
    <t>%</t>
  </si>
  <si>
    <t>Шумораи</t>
  </si>
  <si>
    <t>Аз ҷумла, духтарон</t>
  </si>
  <si>
    <t>Ҳамагӣ</t>
  </si>
  <si>
    <t>Бе хол</t>
  </si>
  <si>
    <t>1-3</t>
  </si>
  <si>
    <t>4-6</t>
  </si>
  <si>
    <t>7-8</t>
  </si>
  <si>
    <t>9-10</t>
  </si>
  <si>
    <t>Дониш азхудкунӣ</t>
  </si>
  <si>
    <t xml:space="preserve">Сифатнокӣ %
9-10 ва  7-8
</t>
  </si>
  <si>
    <t>Хол</t>
  </si>
  <si>
    <t>%-и хол  гирифтагон</t>
  </si>
  <si>
    <t>Баҳои чорак (А.Ҷ.Ҷ-1) гирифтанд синфҳои 2-11</t>
  </si>
  <si>
    <t>Шумораи хонандагон дар охири чоряк (А.Ҷ.Ҷ-1) синфҳои 2-11</t>
  </si>
  <si>
    <t>Рафт</t>
  </si>
  <si>
    <t>Омад</t>
  </si>
  <si>
    <t>Шумораи хонандагон дар аввали чоряк (А.Ҷ.Ҷ-1) синфҳои 2-11</t>
  </si>
  <si>
    <t>СИНФҲО</t>
  </si>
  <si>
    <t>Р/т</t>
  </si>
  <si>
    <t>Натиҷаи ҷамъбастии чоряк (А.Ҷ.Ч.) 1-ум дар муассисаи таҳсилоти миёнаи умумии №20 ноҳияи Зафаробод 
дар соли таҳсили 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</si>
</sst>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sz val="14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4" fillId="0" borderId="3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textRotation="90" wrapText="1"/>
    </xf>
    <xf numFmtId="0" fontId="4" fillId="0" borderId="7" xfId="0" applyFont="1" applyBorder="1" applyAlignment="1">
      <alignment horizontal="center" vertical="center" textRotation="90" wrapText="1"/>
    </xf>
    <xf numFmtId="0" fontId="4" fillId="0" borderId="6" xfId="0" applyFont="1" applyBorder="1" applyAlignment="1">
      <alignment horizontal="center" vertical="center" textRotation="90" wrapText="1"/>
    </xf>
    <xf numFmtId="0" fontId="4" fillId="0" borderId="8" xfId="0" applyFont="1" applyBorder="1" applyAlignment="1">
      <alignment horizontal="center" vertical="center" textRotation="90" wrapText="1"/>
    </xf>
    <xf numFmtId="0" fontId="4" fillId="0" borderId="6" xfId="0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textRotation="90" wrapText="1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textRotation="90" wrapText="1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textRotation="90" wrapText="1"/>
    </xf>
    <xf numFmtId="49" fontId="4" fillId="0" borderId="11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textRotation="90" wrapText="1"/>
    </xf>
    <xf numFmtId="0" fontId="4" fillId="0" borderId="1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"/>
  <sheetViews>
    <sheetView tabSelected="1" zoomScale="90" zoomScaleNormal="90" workbookViewId="0">
      <selection activeCell="J15" sqref="J15"/>
    </sheetView>
  </sheetViews>
  <sheetFormatPr defaultColWidth="8.7265625" defaultRowHeight="14.5" x14ac:dyDescent="0.35"/>
  <cols>
    <col min="1" max="1" width="5" style="1" customWidth="1"/>
    <col min="2" max="2" width="11.81640625" style="1" customWidth="1"/>
    <col min="3" max="4" width="8.7265625" style="1"/>
    <col min="5" max="8" width="4.7265625" style="1" customWidth="1"/>
    <col min="9" max="9" width="7.54296875" style="1" customWidth="1"/>
    <col min="10" max="10" width="8.7265625" style="1"/>
    <col min="11" max="12" width="7.26953125" style="1" customWidth="1"/>
    <col min="13" max="13" width="8.7265625" style="1"/>
    <col min="14" max="23" width="4.1796875" style="1" customWidth="1"/>
    <col min="24" max="25" width="7.1796875" style="1" customWidth="1"/>
    <col min="26" max="16384" width="8.7265625" style="1"/>
  </cols>
  <sheetData>
    <row r="1" spans="1:25" ht="40.5" customHeight="1" thickBot="1" x14ac:dyDescent="0.4">
      <c r="A1" s="32" t="s">
        <v>34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16.899999999999999" customHeight="1" thickBot="1" x14ac:dyDescent="0.4">
      <c r="A2" s="30" t="s">
        <v>33</v>
      </c>
      <c r="B2" s="29" t="s">
        <v>32</v>
      </c>
      <c r="C2" s="23" t="s">
        <v>31</v>
      </c>
      <c r="D2" s="23"/>
      <c r="E2" s="23" t="s">
        <v>30</v>
      </c>
      <c r="F2" s="23"/>
      <c r="G2" s="23" t="s">
        <v>29</v>
      </c>
      <c r="H2" s="23"/>
      <c r="I2" s="23" t="s">
        <v>28</v>
      </c>
      <c r="J2" s="23"/>
      <c r="K2" s="23" t="s">
        <v>27</v>
      </c>
      <c r="L2" s="23"/>
      <c r="M2" s="28" t="s">
        <v>26</v>
      </c>
      <c r="N2" s="21" t="s">
        <v>25</v>
      </c>
      <c r="O2" s="27"/>
      <c r="P2" s="27"/>
      <c r="Q2" s="27"/>
      <c r="R2" s="27"/>
      <c r="S2" s="27"/>
      <c r="T2" s="27"/>
      <c r="U2" s="27"/>
      <c r="V2" s="27"/>
      <c r="W2" s="20"/>
      <c r="X2" s="26" t="s">
        <v>24</v>
      </c>
      <c r="Y2" s="26" t="s">
        <v>23</v>
      </c>
    </row>
    <row r="3" spans="1:25" ht="54.4" customHeight="1" thickBot="1" x14ac:dyDescent="0.4">
      <c r="A3" s="25"/>
      <c r="B3" s="24"/>
      <c r="C3" s="23"/>
      <c r="D3" s="23"/>
      <c r="E3" s="23"/>
      <c r="F3" s="23"/>
      <c r="G3" s="23"/>
      <c r="H3" s="23"/>
      <c r="I3" s="23"/>
      <c r="J3" s="23"/>
      <c r="K3" s="23"/>
      <c r="L3" s="23"/>
      <c r="M3" s="22"/>
      <c r="N3" s="21" t="s">
        <v>22</v>
      </c>
      <c r="O3" s="20"/>
      <c r="P3" s="21" t="s">
        <v>21</v>
      </c>
      <c r="Q3" s="20"/>
      <c r="R3" s="21" t="s">
        <v>20</v>
      </c>
      <c r="S3" s="20"/>
      <c r="T3" s="19" t="s">
        <v>19</v>
      </c>
      <c r="U3" s="18"/>
      <c r="V3" s="19" t="s">
        <v>18</v>
      </c>
      <c r="W3" s="18"/>
      <c r="X3" s="17"/>
      <c r="Y3" s="17"/>
    </row>
    <row r="4" spans="1:25" ht="118.5" customHeight="1" thickBot="1" x14ac:dyDescent="0.4">
      <c r="A4" s="16"/>
      <c r="B4" s="16"/>
      <c r="C4" s="15" t="s">
        <v>17</v>
      </c>
      <c r="D4" s="15" t="s">
        <v>16</v>
      </c>
      <c r="E4" s="15" t="s">
        <v>17</v>
      </c>
      <c r="F4" s="15" t="s">
        <v>16</v>
      </c>
      <c r="G4" s="15" t="s">
        <v>17</v>
      </c>
      <c r="H4" s="15" t="s">
        <v>16</v>
      </c>
      <c r="I4" s="15" t="s">
        <v>17</v>
      </c>
      <c r="J4" s="15" t="s">
        <v>16</v>
      </c>
      <c r="K4" s="15" t="s">
        <v>17</v>
      </c>
      <c r="L4" s="15" t="s">
        <v>16</v>
      </c>
      <c r="M4" s="14"/>
      <c r="N4" s="13" t="s">
        <v>15</v>
      </c>
      <c r="O4" s="13" t="s">
        <v>14</v>
      </c>
      <c r="P4" s="13" t="s">
        <v>15</v>
      </c>
      <c r="Q4" s="13" t="s">
        <v>14</v>
      </c>
      <c r="R4" s="13" t="s">
        <v>15</v>
      </c>
      <c r="S4" s="13" t="s">
        <v>14</v>
      </c>
      <c r="T4" s="13" t="s">
        <v>15</v>
      </c>
      <c r="U4" s="13" t="s">
        <v>14</v>
      </c>
      <c r="V4" s="13" t="s">
        <v>15</v>
      </c>
      <c r="W4" s="13" t="s">
        <v>14</v>
      </c>
      <c r="X4" s="12"/>
      <c r="Y4" s="12"/>
    </row>
    <row r="5" spans="1:25" ht="19.899999999999999" customHeight="1" thickBot="1" x14ac:dyDescent="0.4">
      <c r="A5" s="8">
        <v>1</v>
      </c>
      <c r="B5" s="8" t="s">
        <v>13</v>
      </c>
      <c r="C5" s="8">
        <v>48</v>
      </c>
      <c r="D5" s="8">
        <v>28</v>
      </c>
      <c r="E5" s="8"/>
      <c r="F5" s="8"/>
      <c r="G5" s="8">
        <v>2</v>
      </c>
      <c r="H5" s="8">
        <v>2</v>
      </c>
      <c r="I5" s="8">
        <f>C5+E5-G5</f>
        <v>46</v>
      </c>
      <c r="J5" s="8">
        <f>D5+F5-H5</f>
        <v>26</v>
      </c>
      <c r="K5" s="8">
        <f>I5</f>
        <v>46</v>
      </c>
      <c r="L5" s="8">
        <f>J5</f>
        <v>26</v>
      </c>
      <c r="M5" s="8">
        <v>100</v>
      </c>
      <c r="N5" s="8">
        <v>5</v>
      </c>
      <c r="O5" s="8">
        <f>N5*100/$K5</f>
        <v>10.869565217391305</v>
      </c>
      <c r="P5" s="8">
        <v>8</v>
      </c>
      <c r="Q5" s="8">
        <f>P5*100/$K5</f>
        <v>17.391304347826086</v>
      </c>
      <c r="R5" s="8">
        <f>K5-N5-P5</f>
        <v>33</v>
      </c>
      <c r="S5" s="8">
        <f>R5*100/$K5</f>
        <v>71.739130434782609</v>
      </c>
      <c r="T5" s="8"/>
      <c r="U5" s="8">
        <f>T5*100/$K5</f>
        <v>0</v>
      </c>
      <c r="V5" s="8"/>
      <c r="W5" s="8">
        <f>V5*100/$K5</f>
        <v>0</v>
      </c>
      <c r="X5" s="9">
        <f>O5+Q5</f>
        <v>28.260869565217391</v>
      </c>
      <c r="Y5" s="8">
        <v>100</v>
      </c>
    </row>
    <row r="6" spans="1:25" ht="19.899999999999999" customHeight="1" thickBot="1" x14ac:dyDescent="0.4">
      <c r="A6" s="8">
        <v>2</v>
      </c>
      <c r="B6" s="8" t="s">
        <v>12</v>
      </c>
      <c r="C6" s="8">
        <v>55</v>
      </c>
      <c r="D6" s="8">
        <v>16</v>
      </c>
      <c r="E6" s="8"/>
      <c r="F6" s="8"/>
      <c r="G6" s="8">
        <v>2</v>
      </c>
      <c r="H6" s="8"/>
      <c r="I6" s="8">
        <f>C6+E6-G6</f>
        <v>53</v>
      </c>
      <c r="J6" s="8">
        <f>D6+F6-H6</f>
        <v>16</v>
      </c>
      <c r="K6" s="8">
        <f>I6</f>
        <v>53</v>
      </c>
      <c r="L6" s="8">
        <f>J6</f>
        <v>16</v>
      </c>
      <c r="M6" s="8">
        <v>100</v>
      </c>
      <c r="N6" s="8">
        <v>5</v>
      </c>
      <c r="O6" s="8">
        <f>N6*100/$K6</f>
        <v>9.433962264150944</v>
      </c>
      <c r="P6" s="8">
        <v>10</v>
      </c>
      <c r="Q6" s="8">
        <f>P6*100/$K6</f>
        <v>18.867924528301888</v>
      </c>
      <c r="R6" s="8">
        <f>K6-N6-P6</f>
        <v>38</v>
      </c>
      <c r="S6" s="8">
        <f>R6*100/$K6</f>
        <v>71.698113207547166</v>
      </c>
      <c r="T6" s="8"/>
      <c r="U6" s="8">
        <f>T6*100/$K6</f>
        <v>0</v>
      </c>
      <c r="V6" s="8"/>
      <c r="W6" s="8">
        <f>V6*100/$K6</f>
        <v>0</v>
      </c>
      <c r="X6" s="9">
        <f>O6+Q6</f>
        <v>28.301886792452834</v>
      </c>
      <c r="Y6" s="8">
        <v>100</v>
      </c>
    </row>
    <row r="7" spans="1:25" ht="19.899999999999999" customHeight="1" thickBot="1" x14ac:dyDescent="0.4">
      <c r="A7" s="8">
        <v>3</v>
      </c>
      <c r="B7" s="8" t="s">
        <v>11</v>
      </c>
      <c r="C7" s="8">
        <v>65</v>
      </c>
      <c r="D7" s="8">
        <v>32</v>
      </c>
      <c r="E7" s="8"/>
      <c r="F7" s="8"/>
      <c r="G7" s="8">
        <v>3</v>
      </c>
      <c r="H7" s="8">
        <v>2</v>
      </c>
      <c r="I7" s="8">
        <f>C7+E7-G7</f>
        <v>62</v>
      </c>
      <c r="J7" s="8">
        <f>D7+F7-H7</f>
        <v>30</v>
      </c>
      <c r="K7" s="8">
        <f>I7</f>
        <v>62</v>
      </c>
      <c r="L7" s="8">
        <f>J7</f>
        <v>30</v>
      </c>
      <c r="M7" s="8">
        <v>100</v>
      </c>
      <c r="N7" s="8">
        <v>7</v>
      </c>
      <c r="O7" s="8">
        <f>N7*100/$K7</f>
        <v>11.290322580645162</v>
      </c>
      <c r="P7" s="8">
        <v>11</v>
      </c>
      <c r="Q7" s="8">
        <f>P7*100/$K7</f>
        <v>17.741935483870968</v>
      </c>
      <c r="R7" s="8">
        <f>K7-N7-P7</f>
        <v>44</v>
      </c>
      <c r="S7" s="8">
        <f>R7*100/$K7</f>
        <v>70.967741935483872</v>
      </c>
      <c r="T7" s="8"/>
      <c r="U7" s="8">
        <f>T7*100/$K7</f>
        <v>0</v>
      </c>
      <c r="V7" s="8"/>
      <c r="W7" s="8">
        <f>V7*100/$K7</f>
        <v>0</v>
      </c>
      <c r="X7" s="9">
        <f>O7+Q7</f>
        <v>29.032258064516128</v>
      </c>
      <c r="Y7" s="8">
        <v>100</v>
      </c>
    </row>
    <row r="8" spans="1:25" ht="19.899999999999999" customHeight="1" thickBot="1" x14ac:dyDescent="0.4">
      <c r="A8" s="8">
        <v>4</v>
      </c>
      <c r="B8" s="8" t="s">
        <v>10</v>
      </c>
      <c r="C8" s="8">
        <v>52</v>
      </c>
      <c r="D8" s="8">
        <v>21</v>
      </c>
      <c r="E8" s="8"/>
      <c r="F8" s="8"/>
      <c r="G8" s="8"/>
      <c r="H8" s="8"/>
      <c r="I8" s="8">
        <f>C8+E8-G8</f>
        <v>52</v>
      </c>
      <c r="J8" s="8">
        <f>D8+F8-H8</f>
        <v>21</v>
      </c>
      <c r="K8" s="8">
        <f>I8</f>
        <v>52</v>
      </c>
      <c r="L8" s="8">
        <f>J8</f>
        <v>21</v>
      </c>
      <c r="M8" s="8">
        <v>100</v>
      </c>
      <c r="N8" s="8">
        <v>2</v>
      </c>
      <c r="O8" s="8">
        <f>N8*100/$K8</f>
        <v>3.8461538461538463</v>
      </c>
      <c r="P8" s="8">
        <v>10</v>
      </c>
      <c r="Q8" s="8">
        <f>P8*100/$K8</f>
        <v>19.23076923076923</v>
      </c>
      <c r="R8" s="8">
        <f>K8-N8-P8</f>
        <v>40</v>
      </c>
      <c r="S8" s="8">
        <f>R8*100/$K8</f>
        <v>76.92307692307692</v>
      </c>
      <c r="T8" s="8"/>
      <c r="U8" s="8">
        <f>T8*100/$K8</f>
        <v>0</v>
      </c>
      <c r="V8" s="8"/>
      <c r="W8" s="8">
        <f>V8*100/$K8</f>
        <v>0</v>
      </c>
      <c r="X8" s="9">
        <f>O8+Q8</f>
        <v>23.076923076923077</v>
      </c>
      <c r="Y8" s="8">
        <v>100</v>
      </c>
    </row>
    <row r="9" spans="1:25" ht="19.899999999999999" customHeight="1" thickBot="1" x14ac:dyDescent="0.4">
      <c r="A9" s="8">
        <v>5</v>
      </c>
      <c r="B9" s="8" t="s">
        <v>9</v>
      </c>
      <c r="C9" s="8">
        <v>41</v>
      </c>
      <c r="D9" s="8">
        <v>20</v>
      </c>
      <c r="E9" s="8"/>
      <c r="F9" s="8"/>
      <c r="G9" s="8">
        <v>2</v>
      </c>
      <c r="H9" s="8"/>
      <c r="I9" s="8">
        <f>C9+E9-G9</f>
        <v>39</v>
      </c>
      <c r="J9" s="8">
        <f>D9+F9-H9</f>
        <v>20</v>
      </c>
      <c r="K9" s="8">
        <f>I9</f>
        <v>39</v>
      </c>
      <c r="L9" s="8">
        <f>J9</f>
        <v>20</v>
      </c>
      <c r="M9" s="8">
        <v>100</v>
      </c>
      <c r="N9" s="8">
        <v>6</v>
      </c>
      <c r="O9" s="8">
        <f>N9*100/$K9</f>
        <v>15.384615384615385</v>
      </c>
      <c r="P9" s="8">
        <v>2</v>
      </c>
      <c r="Q9" s="8">
        <f>P9*100/$K9</f>
        <v>5.1282051282051286</v>
      </c>
      <c r="R9" s="8">
        <f>K9-N9-P9</f>
        <v>31</v>
      </c>
      <c r="S9" s="8">
        <f>R9*100/$K9</f>
        <v>79.487179487179489</v>
      </c>
      <c r="T9" s="8"/>
      <c r="U9" s="8">
        <f>T9*100/$K9</f>
        <v>0</v>
      </c>
      <c r="V9" s="8"/>
      <c r="W9" s="8">
        <f>V9*100/$K9</f>
        <v>0</v>
      </c>
      <c r="X9" s="9">
        <f>O9+Q9</f>
        <v>20.512820512820515</v>
      </c>
      <c r="Y9" s="8">
        <v>100</v>
      </c>
    </row>
    <row r="10" spans="1:25" ht="19.899999999999999" customHeight="1" thickBot="1" x14ac:dyDescent="0.4">
      <c r="A10" s="8">
        <v>6</v>
      </c>
      <c r="B10" s="8" t="s">
        <v>8</v>
      </c>
      <c r="C10" s="8">
        <v>51</v>
      </c>
      <c r="D10" s="8">
        <v>29</v>
      </c>
      <c r="E10" s="8">
        <v>1</v>
      </c>
      <c r="F10" s="8">
        <v>1</v>
      </c>
      <c r="G10" s="8"/>
      <c r="H10" s="8"/>
      <c r="I10" s="8">
        <f>C10+E10-G10</f>
        <v>52</v>
      </c>
      <c r="J10" s="8">
        <f>D10+F10-H10</f>
        <v>30</v>
      </c>
      <c r="K10" s="8">
        <f>I10</f>
        <v>52</v>
      </c>
      <c r="L10" s="8">
        <f>J10</f>
        <v>30</v>
      </c>
      <c r="M10" s="8">
        <v>100</v>
      </c>
      <c r="N10" s="8">
        <v>7</v>
      </c>
      <c r="O10" s="8">
        <f>N10*100/$K10</f>
        <v>13.461538461538462</v>
      </c>
      <c r="P10" s="8">
        <v>11</v>
      </c>
      <c r="Q10" s="8">
        <f>P10*100/$K10</f>
        <v>21.153846153846153</v>
      </c>
      <c r="R10" s="8">
        <f>K10-N10-P10</f>
        <v>34</v>
      </c>
      <c r="S10" s="8">
        <f>R10*100/$K10</f>
        <v>65.384615384615387</v>
      </c>
      <c r="T10" s="8"/>
      <c r="U10" s="8">
        <f>T10*100/$K10</f>
        <v>0</v>
      </c>
      <c r="V10" s="8"/>
      <c r="W10" s="8">
        <f>V10*100/$K10</f>
        <v>0</v>
      </c>
      <c r="X10" s="9">
        <f>O10+Q10</f>
        <v>34.615384615384613</v>
      </c>
      <c r="Y10" s="8">
        <v>100</v>
      </c>
    </row>
    <row r="11" spans="1:25" ht="19.899999999999999" customHeight="1" thickBot="1" x14ac:dyDescent="0.4">
      <c r="A11" s="8">
        <v>7</v>
      </c>
      <c r="B11" s="8" t="s">
        <v>7</v>
      </c>
      <c r="C11" s="8">
        <v>35</v>
      </c>
      <c r="D11" s="8">
        <v>19</v>
      </c>
      <c r="E11" s="8">
        <v>1</v>
      </c>
      <c r="F11" s="8">
        <v>1</v>
      </c>
      <c r="G11" s="8"/>
      <c r="H11" s="8"/>
      <c r="I11" s="8">
        <f>C11+E11-G11</f>
        <v>36</v>
      </c>
      <c r="J11" s="8">
        <f>D11+F11-H11</f>
        <v>20</v>
      </c>
      <c r="K11" s="8">
        <f>I11</f>
        <v>36</v>
      </c>
      <c r="L11" s="8">
        <f>J11</f>
        <v>20</v>
      </c>
      <c r="M11" s="8">
        <v>100</v>
      </c>
      <c r="N11" s="8">
        <v>3</v>
      </c>
      <c r="O11" s="8">
        <f>N11*100/$K11</f>
        <v>8.3333333333333339</v>
      </c>
      <c r="P11" s="8">
        <v>4</v>
      </c>
      <c r="Q11" s="8">
        <f>P11*100/$K11</f>
        <v>11.111111111111111</v>
      </c>
      <c r="R11" s="8">
        <f>K11-N11-P11</f>
        <v>29</v>
      </c>
      <c r="S11" s="8">
        <f>R11*100/$K11</f>
        <v>80.555555555555557</v>
      </c>
      <c r="T11" s="8"/>
      <c r="U11" s="8">
        <f>T11*100/$K11</f>
        <v>0</v>
      </c>
      <c r="V11" s="8"/>
      <c r="W11" s="8">
        <f>V11*100/$K11</f>
        <v>0</v>
      </c>
      <c r="X11" s="9">
        <f>O11+Q11</f>
        <v>19.444444444444443</v>
      </c>
      <c r="Y11" s="8">
        <v>100</v>
      </c>
    </row>
    <row r="12" spans="1:25" ht="19.899999999999999" customHeight="1" thickBot="1" x14ac:dyDescent="0.4">
      <c r="A12" s="8">
        <v>8</v>
      </c>
      <c r="B12" s="8" t="s">
        <v>6</v>
      </c>
      <c r="C12" s="8">
        <v>57</v>
      </c>
      <c r="D12" s="8">
        <v>28</v>
      </c>
      <c r="E12" s="8"/>
      <c r="F12" s="8"/>
      <c r="G12" s="8"/>
      <c r="H12" s="8"/>
      <c r="I12" s="8">
        <f>C12+E12-G12</f>
        <v>57</v>
      </c>
      <c r="J12" s="8">
        <f>D12+F12-H12</f>
        <v>28</v>
      </c>
      <c r="K12" s="8">
        <f>I12</f>
        <v>57</v>
      </c>
      <c r="L12" s="8">
        <f>J12</f>
        <v>28</v>
      </c>
      <c r="M12" s="8">
        <v>100</v>
      </c>
      <c r="N12" s="8">
        <v>4</v>
      </c>
      <c r="O12" s="8">
        <f>N12*100/$K12</f>
        <v>7.0175438596491224</v>
      </c>
      <c r="P12" s="8">
        <v>6</v>
      </c>
      <c r="Q12" s="8">
        <f>P12*100/$K12</f>
        <v>10.526315789473685</v>
      </c>
      <c r="R12" s="8">
        <f>K12-N12-P12</f>
        <v>47</v>
      </c>
      <c r="S12" s="8">
        <f>R12*100/$K12</f>
        <v>82.456140350877192</v>
      </c>
      <c r="T12" s="8"/>
      <c r="U12" s="8">
        <f>T12*100/$K12</f>
        <v>0</v>
      </c>
      <c r="V12" s="8"/>
      <c r="W12" s="8">
        <f>V12*100/$K12</f>
        <v>0</v>
      </c>
      <c r="X12" s="9">
        <f>O12+Q12</f>
        <v>17.543859649122808</v>
      </c>
      <c r="Y12" s="8">
        <v>100</v>
      </c>
    </row>
    <row r="13" spans="1:25" ht="19.899999999999999" customHeight="1" thickBot="1" x14ac:dyDescent="0.4">
      <c r="A13" s="8">
        <v>9</v>
      </c>
      <c r="B13" s="8" t="s">
        <v>5</v>
      </c>
      <c r="C13" s="8">
        <v>34</v>
      </c>
      <c r="D13" s="8">
        <v>22</v>
      </c>
      <c r="E13" s="8"/>
      <c r="F13" s="8"/>
      <c r="G13" s="8"/>
      <c r="H13" s="8"/>
      <c r="I13" s="8">
        <f>C13+E13-G13</f>
        <v>34</v>
      </c>
      <c r="J13" s="8">
        <f>D13+F13-H13</f>
        <v>22</v>
      </c>
      <c r="K13" s="8">
        <f>I13</f>
        <v>34</v>
      </c>
      <c r="L13" s="8">
        <f>J13</f>
        <v>22</v>
      </c>
      <c r="M13" s="8">
        <v>100</v>
      </c>
      <c r="N13" s="8">
        <v>5</v>
      </c>
      <c r="O13" s="8">
        <f>N13*100/$K13</f>
        <v>14.705882352941176</v>
      </c>
      <c r="P13" s="8">
        <v>7</v>
      </c>
      <c r="Q13" s="8">
        <f>P13*100/$K13</f>
        <v>20.588235294117649</v>
      </c>
      <c r="R13" s="8">
        <f>K13-N13-P13</f>
        <v>22</v>
      </c>
      <c r="S13" s="8">
        <f>R13*100/$K13</f>
        <v>64.705882352941174</v>
      </c>
      <c r="T13" s="8"/>
      <c r="U13" s="8">
        <f>T13*100/$K13</f>
        <v>0</v>
      </c>
      <c r="V13" s="8"/>
      <c r="W13" s="8">
        <f>V13*100/$K13</f>
        <v>0</v>
      </c>
      <c r="X13" s="9">
        <f>O13+Q13</f>
        <v>35.294117647058826</v>
      </c>
      <c r="Y13" s="8">
        <v>100</v>
      </c>
    </row>
    <row r="14" spans="1:25" ht="19.899999999999999" customHeight="1" thickBot="1" x14ac:dyDescent="0.4">
      <c r="A14" s="8">
        <v>10</v>
      </c>
      <c r="B14" s="8" t="s">
        <v>4</v>
      </c>
      <c r="C14" s="8">
        <v>22</v>
      </c>
      <c r="D14" s="8">
        <v>17</v>
      </c>
      <c r="E14" s="8"/>
      <c r="F14" s="8"/>
      <c r="G14" s="8">
        <v>1</v>
      </c>
      <c r="H14" s="8"/>
      <c r="I14" s="8">
        <f>C14+E14-G14</f>
        <v>21</v>
      </c>
      <c r="J14" s="8">
        <f>D14+F14-H14</f>
        <v>17</v>
      </c>
      <c r="K14" s="8">
        <f>I14</f>
        <v>21</v>
      </c>
      <c r="L14" s="8">
        <f>J14</f>
        <v>17</v>
      </c>
      <c r="M14" s="8">
        <v>100</v>
      </c>
      <c r="N14" s="8">
        <v>2</v>
      </c>
      <c r="O14" s="8">
        <f>N14*100/$K14</f>
        <v>9.5238095238095237</v>
      </c>
      <c r="P14" s="8">
        <v>7</v>
      </c>
      <c r="Q14" s="8">
        <f>P14*100/$K14</f>
        <v>33.333333333333336</v>
      </c>
      <c r="R14" s="8">
        <f>K14-N14-P14</f>
        <v>12</v>
      </c>
      <c r="S14" s="8">
        <f>R14*100/$K14</f>
        <v>57.142857142857146</v>
      </c>
      <c r="T14" s="8"/>
      <c r="U14" s="8">
        <f>T14*100/$K14</f>
        <v>0</v>
      </c>
      <c r="V14" s="8"/>
      <c r="W14" s="8">
        <f>V14*100/$K14</f>
        <v>0</v>
      </c>
      <c r="X14" s="9">
        <f>O14+Q14</f>
        <v>42.857142857142861</v>
      </c>
      <c r="Y14" s="8">
        <v>100</v>
      </c>
    </row>
    <row r="15" spans="1:25" ht="19.899999999999999" customHeight="1" thickBot="1" x14ac:dyDescent="0.4">
      <c r="A15" s="11" t="s">
        <v>3</v>
      </c>
      <c r="B15" s="10"/>
      <c r="C15" s="8">
        <f>SUM(C5:C14)</f>
        <v>460</v>
      </c>
      <c r="D15" s="8">
        <f>SUM(D5:D14)</f>
        <v>232</v>
      </c>
      <c r="E15" s="8">
        <f>SUM(E5:E14)</f>
        <v>2</v>
      </c>
      <c r="F15" s="8">
        <f>SUM(F5:F14)</f>
        <v>2</v>
      </c>
      <c r="G15" s="8">
        <f>SUM(G5:G14)</f>
        <v>10</v>
      </c>
      <c r="H15" s="8">
        <f>SUM(H5:H14)</f>
        <v>4</v>
      </c>
      <c r="I15" s="8">
        <f>SUM(I5:I14)</f>
        <v>452</v>
      </c>
      <c r="J15" s="8">
        <f>SUM(J5:J14)</f>
        <v>230</v>
      </c>
      <c r="K15" s="8">
        <f>SUM(K5:K14)</f>
        <v>452</v>
      </c>
      <c r="L15" s="8">
        <f>SUM(L5:L14)</f>
        <v>230</v>
      </c>
      <c r="M15" s="8">
        <v>100</v>
      </c>
      <c r="N15" s="8">
        <f>SUM(N5:N14)</f>
        <v>46</v>
      </c>
      <c r="O15" s="8">
        <f>N15*100/$K15</f>
        <v>10.176991150442477</v>
      </c>
      <c r="P15" s="8">
        <f>SUM(P5:P14)</f>
        <v>76</v>
      </c>
      <c r="Q15" s="8">
        <f>P15*100/$K15</f>
        <v>16.814159292035399</v>
      </c>
      <c r="R15" s="8">
        <f>SUM(R5:R14)</f>
        <v>330</v>
      </c>
      <c r="S15" s="8">
        <f>R15*100/$K15</f>
        <v>73.008849557522126</v>
      </c>
      <c r="T15" s="8">
        <f>SUM(T5:T14)</f>
        <v>0</v>
      </c>
      <c r="U15" s="8">
        <f>T15*100/$K15</f>
        <v>0</v>
      </c>
      <c r="V15" s="8">
        <f>SUM(V5:V14)</f>
        <v>0</v>
      </c>
      <c r="W15" s="8">
        <f>V15*100/$K15</f>
        <v>0</v>
      </c>
      <c r="X15" s="9">
        <f>O15+Q15</f>
        <v>26.991150442477874</v>
      </c>
      <c r="Y15" s="8">
        <v>100</v>
      </c>
    </row>
    <row r="16" spans="1:25" ht="16.899999999999999" customHeight="1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x14ac:dyDescent="0.35">
      <c r="A17" s="6" t="s">
        <v>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ht="6.4" customHeight="1" x14ac:dyDescent="0.35"/>
    <row r="19" spans="1:25" ht="14.65" customHeight="1" x14ac:dyDescent="0.35"/>
    <row r="20" spans="1:25" ht="30" customHeight="1" x14ac:dyDescent="0.35">
      <c r="A20" s="5" t="s">
        <v>1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33.4" customHeight="1" x14ac:dyDescent="0.35">
      <c r="A21" s="3" t="s">
        <v>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</sheetData>
  <mergeCells count="21">
    <mergeCell ref="C2:D3"/>
    <mergeCell ref="N2:W2"/>
    <mergeCell ref="X2:X4"/>
    <mergeCell ref="Y2:Y4"/>
    <mergeCell ref="A20:Y20"/>
    <mergeCell ref="N3:O3"/>
    <mergeCell ref="P3:Q3"/>
    <mergeCell ref="R3:S3"/>
    <mergeCell ref="T3:U3"/>
    <mergeCell ref="A2:A4"/>
    <mergeCell ref="B2:B4"/>
    <mergeCell ref="E2:F3"/>
    <mergeCell ref="G2:H3"/>
    <mergeCell ref="I2:J3"/>
    <mergeCell ref="K2:L3"/>
    <mergeCell ref="A1:Y1"/>
    <mergeCell ref="A21:Y21"/>
    <mergeCell ref="M2:M4"/>
    <mergeCell ref="A17:Y17"/>
    <mergeCell ref="A15:B15"/>
    <mergeCell ref="V3:W3"/>
  </mergeCells>
  <pageMargins left="0.39370078740157483" right="0.39370078740157483" top="0.39370078740157483" bottom="0.39370078740157483" header="0.39370078740157483" footer="0.31496062992125984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Чораки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UsarZokirov</dc:creator>
  <cp:lastModifiedBy>UsarZokirov</cp:lastModifiedBy>
  <dcterms:created xsi:type="dcterms:W3CDTF">2026-10-24T11:04:54Z</dcterms:created>
  <dcterms:modified xsi:type="dcterms:W3CDTF">2026-10-24T11:05:13Z</dcterms:modified>
</cp:coreProperties>
</file>